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8b042c572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Pulse" sheetId="1" r:id="R91219a29ffe243a2"/>
    <x:sheet xmlns:r="http://schemas.openxmlformats.org/officeDocument/2006/relationships" name="Signal Register" sheetId="2" r:id="R1b795590d66343d0"/>
    <x:sheet xmlns:r="http://schemas.openxmlformats.org/officeDocument/2006/relationships" name="Filtered Out" sheetId="3" r:id="Rc4008d20a1da4e3d"/>
    <x:sheet xmlns:r="http://schemas.openxmlformats.org/officeDocument/2006/relationships" name="RH Motion Catalog" sheetId="4" r:id="R2fb8daab19af43bc"/>
    <x:sheet xmlns:r="http://schemas.openxmlformats.org/officeDocument/2006/relationships" name="Scoring &amp; Controls" sheetId="5" r:id="R28dc105f9a9a4cca"/>
    <x:sheet xmlns:r="http://schemas.openxmlformats.org/officeDocument/2006/relationships" name="Source Scope" sheetId="6" r:id="R79a8c7be0c7e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mmm d, yyyy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0"/>
      <x:color rgb="FF1F4E78"/>
      <x:name val="Carlito"/>
    </x:font>
    <x:font>
      <x:b/>
      <x:sz val="18"/>
      <x:color rgb="FF1F4E78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4"/>
      <x:color rgb="FF1F4E78"/>
      <x:name val="Carlito"/>
    </x:font>
    <x:font>
      <x:b/>
      <x:sz val="12"/>
      <x:color rgb="FF1F4E78"/>
      <x:name val="Carlito"/>
    </x:font>
    <x:font>
      <x:sz val="9"/>
      <x:color rgb="FF595959"/>
      <x:name val="Carlito"/>
    </x:font>
    <x:font>
      <x:i/>
      <x:sz val="9"/>
      <x:color rgb="FF59595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FCE4D6"/>
      </x:patternFill>
    </x:fill>
    <x:fill>
      <x:patternFill patternType="solid">
        <x:fgColor rgb="FFFDE9E7"/>
      </x:patternFill>
    </x:fill>
  </x:fills>
  <x:borders count="26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top/>
      <x:bottom/>
    </x:border>
    <x:border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wrapText="1"/>
    </x:xf>
    <x:xf numFmtId="0" fontId="6" fillId="5" borderId="20" xfId="0" applyNumberFormat="1" applyFont="1" applyFill="1" applyBorder="1" applyAlignment="1">
      <x:alignment wrapText="1"/>
    </x:xf>
    <x:xf numFmtId="0" fontId="6" fillId="5" borderId="2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8" xfId="0" applyNumberFormat="1" applyFont="1" applyFill="1" applyBorder="1" applyAlignment="1">
      <x:alignment vertical="top" wrapText="1"/>
    </x:xf>
    <x:xf numFmtId="0" fontId="6" fillId="5" borderId="19" xfId="0" applyNumberFormat="1" applyFont="1" applyFill="1" applyBorder="1" applyAlignment="1">
      <x:alignment vertical="top" wrapText="1"/>
    </x:xf>
    <x:xf numFmtId="0" fontId="6" fillId="5" borderId="20" xfId="0" applyNumberFormat="1" applyFont="1" applyFill="1" applyBorder="1" applyAlignment="1">
      <x:alignment vertical="top" wrapText="1"/>
    </x:xf>
    <x:xf numFmtId="0" fontId="6" fillId="5" borderId="2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22" xfId="0" applyNumberFormat="1" applyFont="1" applyFill="1" applyBorder="1"/>
    <x:xf numFmtId="0" fontId="8" fillId="5" borderId="3" xfId="0" applyNumberFormat="1" applyFont="1" applyFill="1" applyBorder="1"/>
    <x:xf numFmtId="0" fontId="8" fillId="5" borderId="2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2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/>
    <x:xf numFmtId="0" fontId="8" fillId="5" borderId="4" xfId="0" applyNumberFormat="1" applyFont="1" applyFill="1" applyBorder="1"/>
    <x:xf numFmtId="0" fontId="8" fillId="5" borderId="23" xfId="0" applyNumberFormat="1" applyFont="1" applyFill="1" applyBorder="1"/>
    <x:xf numFmtId="0" fontId="8" fillId="5" borderId="5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23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24" xfId="0" applyNumberFormat="1" applyFont="1" applyFill="1" applyBorder="1" applyAlignment="1">
      <x:alignment vertical="top" wrapText="1"/>
    </x:xf>
    <x:xf numFmtId="0" fontId="9" fillId="7" borderId="24" xfId="0" applyNumberFormat="1" applyFont="1" applyFill="1" applyBorder="1" applyAlignment="1">
      <x:alignment horizontal="center" vertical="top" wrapText="1"/>
    </x:xf>
    <x:xf numFmtId="0" fontId="9" fillId="7" borderId="24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25" xfId="0" applyNumberFormat="1" applyFont="1" applyFill="1" applyBorder="1" applyAlignment="1">
      <x:alignment vertical="top" wrapText="1"/>
    </x:xf>
    <x:xf numFmtId="0" fontId="9" fillId="7" borderId="25" xfId="0" applyNumberFormat="1" applyFont="1" applyFill="1" applyBorder="1" applyAlignment="1">
      <x:alignment horizontal="center" vertical="top" wrapText="1"/>
    </x:xf>
    <x:xf numFmtId="0" fontId="9" fillId="7" borderId="2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2" xfId="0" applyNumberFormat="1" applyFont="1" applyFill="1" applyBorder="1"/>
    <x:xf numFmtId="0" fontId="8" fillId="8" borderId="3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2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4" xfId="0" applyNumberFormat="1" applyFont="1" applyFill="1" applyBorder="1"/>
    <x:xf numFmtId="0" fontId="8" fillId="8" borderId="23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23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24" xfId="0" applyNumberFormat="1" applyFont="1" applyFill="1" applyBorder="1" applyAlignment="1">
      <x:alignment vertical="top" wrapText="1"/>
    </x:xf>
    <x:xf numFmtId="0" fontId="9" fillId="9" borderId="24" xfId="0" applyNumberFormat="1" applyFont="1" applyFill="1" applyBorder="1" applyAlignment="1">
      <x:alignment horizontal="center" vertical="top" wrapText="1"/>
    </x:xf>
    <x:xf numFmtId="0" fontId="9" fillId="9" borderId="24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vertical="top" wrapText="1"/>
    </x:xf>
    <x:xf numFmtId="0" fontId="9" fillId="9" borderId="4" xfId="0" applyNumberFormat="1" applyFont="1" applyFill="1" applyBorder="1" applyAlignment="1">
      <x:alignment vertical="top" wrapText="1"/>
    </x:xf>
    <x:xf numFmtId="0" fontId="9" fillId="9" borderId="25" xfId="0" applyNumberFormat="1" applyFont="1" applyFill="1" applyBorder="1" applyAlignment="1">
      <x:alignment vertical="top" wrapText="1"/>
    </x:xf>
    <x:xf numFmtId="0" fontId="9" fillId="9" borderId="25" xfId="0" applyNumberFormat="1" applyFont="1" applyFill="1" applyBorder="1" applyAlignment="1">
      <x:alignment horizontal="center" vertical="top" wrapText="1"/>
    </x:xf>
    <x:xf numFmtId="0" fontId="9" fillId="9" borderId="25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24" xfId="0" applyNumberFormat="1" applyFont="1" applyFill="1" applyBorder="1" applyAlignment="1">
      <x:alignment vertical="top" wrapText="1"/>
    </x:xf>
    <x:xf numFmtId="0" fontId="10" fillId="3" borderId="24" xfId="0" applyNumberFormat="1" applyFont="1" applyFill="1" applyBorder="1" applyAlignment="1">
      <x:alignment horizontal="center" vertical="top" wrapText="1"/>
    </x:xf>
    <x:xf numFmtId="0" fontId="10" fillId="3" borderId="24" xfId="0" applyNumberFormat="1" applyFont="1" applyFill="1" applyBorder="1" applyAlignment="1">
      <x:alignment horizontal="center" vertical="center" wrapText="1"/>
    </x:xf>
    <x:xf numFmtId="0" fontId="8" fillId="3" borderId="4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0" fillId="3" borderId="25" xfId="0" applyNumberFormat="1" applyFont="1" applyFill="1" applyBorder="1" applyAlignment="1">
      <x:alignment vertical="top" wrapText="1"/>
    </x:xf>
    <x:xf numFmtId="0" fontId="10" fillId="3" borderId="25" xfId="0" applyNumberFormat="1" applyFont="1" applyFill="1" applyBorder="1" applyAlignment="1">
      <x:alignment horizontal="center" vertical="top" wrapText="1"/>
    </x:xf>
    <x:xf numFmtId="0" fontId="10" fillId="3" borderId="2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2" xfId="0" applyNumberFormat="1" applyFont="1" applyFill="1" applyBorder="1"/>
    <x:xf numFmtId="0" fontId="11" fillId="10" borderId="22" xfId="0" applyNumberFormat="1" applyFont="1" applyFill="1" applyBorder="1"/>
    <x:xf numFmtId="0" fontId="11" fillId="10" borderId="3" xfId="0" applyNumberFormat="1" applyFont="1" applyFill="1" applyBorder="1"/>
    <x:xf numFmtId="0" fontId="11" fillId="10" borderId="2" xfId="0" applyNumberFormat="1" applyFont="1" applyFill="1" applyBorder="1" applyAlignment="1">
      <x:alignment wrapText="1"/>
    </x:xf>
    <x:xf numFmtId="0" fontId="11" fillId="10" borderId="22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vertical="top" wrapText="1"/>
    </x:xf>
    <x:xf numFmtId="0" fontId="11" fillId="10" borderId="22" xfId="0" applyNumberFormat="1" applyFont="1" applyFill="1" applyBorder="1" applyAlignment="1">
      <x:alignment vertical="top" wrapText="1"/>
    </x:xf>
    <x:xf numFmtId="0" fontId="11" fillId="10" borderId="3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0" fontId="11" fillId="10" borderId="4" xfId="0" applyNumberFormat="1" applyFont="1" applyFill="1" applyBorder="1"/>
    <x:xf numFmtId="0" fontId="11" fillId="10" borderId="23" xfId="0" applyNumberFormat="1" applyFont="1" applyFill="1" applyBorder="1"/>
    <x:xf numFmtId="0" fontId="11" fillId="10" borderId="5" xfId="0" applyNumberFormat="1" applyFont="1" applyFill="1" applyBorder="1"/>
    <x:xf numFmtId="0" fontId="11" fillId="10" borderId="4" xfId="0" applyNumberFormat="1" applyFont="1" applyFill="1" applyBorder="1" applyAlignment="1">
      <x:alignment wrapText="1"/>
    </x:xf>
    <x:xf numFmtId="0" fontId="11" fillId="10" borderId="23" xfId="0" applyNumberFormat="1" applyFont="1" applyFill="1" applyBorder="1" applyAlignment="1">
      <x:alignment wrapText="1"/>
    </x:xf>
    <x:xf numFmtId="0" fontId="11" fillId="10" borderId="5" xfId="0" applyNumberFormat="1" applyFont="1" applyFill="1" applyBorder="1" applyAlignment="1">
      <x:alignment wrapText="1"/>
    </x:xf>
    <x:xf numFmtId="0" fontId="11" fillId="10" borderId="4" xfId="0" applyNumberFormat="1" applyFont="1" applyFill="1" applyBorder="1" applyAlignment="1">
      <x:alignment vertical="top" wrapText="1"/>
    </x:xf>
    <x:xf numFmtId="0" fontId="11" fillId="10" borderId="23" xfId="0" applyNumberFormat="1" applyFont="1" applyFill="1" applyBorder="1" applyAlignment="1">
      <x:alignment vertical="top" wrapText="1"/>
    </x:xf>
    <x:xf numFmtId="0" fontId="11" fillId="10" borderId="5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2" xfId="0" applyNumberFormat="1" applyFont="1" applyFill="1" applyBorder="1"/>
    <x:xf numFmtId="201" fontId="8" fillId="0" borderId="22" xfId="0" applyNumberFormat="1" applyFont="1" applyFill="1" applyBorder="1"/>
    <x:xf numFmtId="0" fontId="8" fillId="0" borderId="22" xfId="0" applyNumberFormat="1" applyFont="1" applyFill="1" applyBorder="1"/>
    <x:xf numFmtId="0" fontId="8" fillId="0" borderId="3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201" fontId="8" fillId="0" borderId="22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201" fontId="8" fillId="0" borderId="22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8" fillId="0" borderId="4" xfId="0" applyNumberFormat="1" applyFont="1" applyFill="1" applyBorder="1"/>
    <x:xf numFmtId="201" fontId="8" fillId="0" borderId="23" xfId="0" applyNumberFormat="1" applyFont="1" applyFill="1" applyBorder="1"/>
    <x:xf numFmtId="0" fontId="8" fillId="0" borderId="23" xfId="0" applyNumberFormat="1" applyFont="1" applyFill="1" applyBorder="1"/>
    <x:xf numFmtId="0" fontId="8" fillId="0" borderId="5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201" fontId="8" fillId="0" borderId="23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201" fontId="8" fillId="0" borderId="23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201" fontId="8" fillId="7" borderId="22" xfId="0" applyNumberFormat="1" applyFont="1" applyFill="1" applyBorder="1" applyAlignment="1">
      <x:alignment vertical="top" wrapText="1"/>
    </x:xf>
    <x:xf numFmtId="0" fontId="8" fillId="7" borderId="2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201" fontId="8" fillId="7" borderId="23" xfId="0" applyNumberFormat="1" applyFont="1" applyFill="1" applyBorder="1" applyAlignment="1">
      <x:alignment vertical="top" wrapText="1"/>
    </x:xf>
    <x:xf numFmtId="0" fontId="8" fillId="7" borderId="23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vertical="top" wrapText="1"/>
    </x:xf>
    <x:xf numFmtId="201" fontId="8" fillId="9" borderId="22" xfId="0" applyNumberFormat="1" applyFont="1" applyFill="1" applyBorder="1" applyAlignment="1">
      <x:alignment vertical="top" wrapText="1"/>
    </x:xf>
    <x:xf numFmtId="0" fontId="8" fillId="9" borderId="22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201" fontId="8" fillId="9" borderId="23" xfId="0" applyNumberFormat="1" applyFont="1" applyFill="1" applyBorder="1" applyAlignment="1">
      <x:alignment vertical="top" wrapText="1"/>
    </x:xf>
    <x:xf numFmtId="0" fontId="8" fillId="9" borderId="23" xfId="0" applyNumberFormat="1" applyFont="1" applyFill="1" applyBorder="1" applyAlignment="1">
      <x:alignment vertical="top" wrapText="1"/>
    </x:xf>
    <x:xf numFmtId="0" fontId="8" fillId="9" borderId="5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201" fontId="8" fillId="11" borderId="22" xfId="0" applyNumberFormat="1" applyFont="1" applyFill="1" applyBorder="1" applyAlignment="1">
      <x:alignment vertical="top" wrapText="1"/>
    </x:xf>
    <x:xf numFmtId="0" fontId="8" fillId="11" borderId="22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8" fillId="11" borderId="4" xfId="0" applyNumberFormat="1" applyFont="1" applyFill="1" applyBorder="1" applyAlignment="1">
      <x:alignment vertical="top" wrapText="1"/>
    </x:xf>
    <x:xf numFmtId="201" fontId="8" fillId="11" borderId="23" xfId="0" applyNumberFormat="1" applyFont="1" applyFill="1" applyBorder="1" applyAlignment="1">
      <x:alignment vertical="top" wrapText="1"/>
    </x:xf>
    <x:xf numFmtId="0" fontId="8" fillId="11" borderId="23" xfId="0" applyNumberFormat="1" applyFont="1" applyFill="1" applyBorder="1" applyAlignment="1">
      <x:alignment vertical="top" wrapText="1"/>
    </x:xf>
    <x:xf numFmtId="0" fontId="8" fillId="11" borderId="5" xfId="0" applyNumberFormat="1" applyFont="1" applyFill="1" applyBorder="1" applyAlignment="1">
      <x:alignment vertical="top" wrapText="1"/>
    </x:xf>
    <x:xf numFmtId="0" fontId="3" fillId="7" borderId="22" xfId="0" applyNumberFormat="1" applyFont="1" applyFill="1" applyBorder="1" applyAlignment="1">
      <x:alignment vertical="top" wrapText="1"/>
    </x:xf>
    <x:xf numFmtId="0" fontId="3" fillId="9" borderId="22" xfId="0" applyNumberFormat="1" applyFont="1" applyFill="1" applyBorder="1" applyAlignment="1">
      <x:alignment vertical="top" wrapText="1"/>
    </x:xf>
    <x:xf numFmtId="0" fontId="3" fillId="11" borderId="22" xfId="0" applyNumberFormat="1" applyFont="1" applyFill="1" applyBorder="1" applyAlignment="1">
      <x:alignment vertical="top" wrapText="1"/>
    </x:xf>
    <x:xf numFmtId="0" fontId="3" fillId="7" borderId="24" xfId="0" applyNumberFormat="1" applyFont="1" applyFill="1" applyBorder="1" applyAlignment="1">
      <x:alignment vertical="top" wrapText="1"/>
    </x:xf>
    <x:xf numFmtId="0" fontId="3" fillId="9" borderId="24" xfId="0" applyNumberFormat="1" applyFont="1" applyFill="1" applyBorder="1" applyAlignment="1">
      <x:alignment vertical="top" wrapText="1"/>
    </x:xf>
    <x:xf numFmtId="0" fontId="3" fillId="11" borderId="24" xfId="0" applyNumberFormat="1" applyFont="1" applyFill="1" applyBorder="1" applyAlignment="1">
      <x:alignment vertical="top" wrapText="1"/>
    </x:xf>
    <x:xf numFmtId="0" fontId="3" fillId="7" borderId="24" xfId="0" applyNumberFormat="1" applyFont="1" applyFill="1" applyBorder="1" applyAlignment="1">
      <x:alignment horizontal="center" vertical="top" wrapText="1"/>
    </x:xf>
    <x:xf numFmtId="0" fontId="3" fillId="9" borderId="24" xfId="0" applyNumberFormat="1" applyFont="1" applyFill="1" applyBorder="1" applyAlignment="1">
      <x:alignment horizontal="center" vertical="top" wrapText="1"/>
    </x:xf>
    <x:xf numFmtId="0" fontId="3" fillId="11" borderId="24" xfId="0" applyNumberFormat="1" applyFont="1" applyFill="1" applyBorder="1" applyAlignment="1">
      <x:alignment horizontal="center" vertical="top" wrapText="1"/>
    </x:xf>
    <x:xf numFmtId="0" fontId="3" fillId="7" borderId="24" xfId="0" applyNumberFormat="1" applyFont="1" applyFill="1" applyBorder="1" applyAlignment="1">
      <x:alignment horizontal="center" vertical="center" wrapText="1"/>
    </x:xf>
    <x:xf numFmtId="0" fontId="3" fillId="9" borderId="24" xfId="0" applyNumberFormat="1" applyFont="1" applyFill="1" applyBorder="1" applyAlignment="1">
      <x:alignment horizontal="center" vertical="center" wrapText="1"/>
    </x:xf>
    <x:xf numFmtId="0" fontId="3" fillId="11" borderId="24" xfId="0" applyNumberFormat="1" applyFont="1" applyFill="1" applyBorder="1" applyAlignment="1">
      <x:alignment horizontal="center" vertical="center" wrapText="1"/>
    </x:xf>
    <x:xf numFmtId="0" fontId="3" fillId="7" borderId="23" xfId="0" applyNumberFormat="1" applyFont="1" applyFill="1" applyBorder="1" applyAlignment="1">
      <x:alignment vertical="top" wrapText="1"/>
    </x:xf>
    <x:xf numFmtId="0" fontId="3" fillId="9" borderId="23" xfId="0" applyNumberFormat="1" applyFont="1" applyFill="1" applyBorder="1" applyAlignment="1">
      <x:alignment vertical="top" wrapText="1"/>
    </x:xf>
    <x:xf numFmtId="0" fontId="3" fillId="11" borderId="23" xfId="0" applyNumberFormat="1" applyFont="1" applyFill="1" applyBorder="1" applyAlignment="1">
      <x:alignment vertical="top" wrapText="1"/>
    </x:xf>
    <x:xf numFmtId="0" fontId="3" fillId="7" borderId="25" xfId="0" applyNumberFormat="1" applyFont="1" applyFill="1" applyBorder="1" applyAlignment="1">
      <x:alignment vertical="top" wrapText="1"/>
    </x:xf>
    <x:xf numFmtId="0" fontId="3" fillId="9" borderId="25" xfId="0" applyNumberFormat="1" applyFont="1" applyFill="1" applyBorder="1" applyAlignment="1">
      <x:alignment vertical="top" wrapText="1"/>
    </x:xf>
    <x:xf numFmtId="0" fontId="3" fillId="11" borderId="25" xfId="0" applyNumberFormat="1" applyFont="1" applyFill="1" applyBorder="1" applyAlignment="1">
      <x:alignment vertical="top" wrapText="1"/>
    </x:xf>
    <x:xf numFmtId="0" fontId="3" fillId="7" borderId="25" xfId="0" applyNumberFormat="1" applyFont="1" applyFill="1" applyBorder="1" applyAlignment="1">
      <x:alignment horizontal="center" vertical="top" wrapText="1"/>
    </x:xf>
    <x:xf numFmtId="0" fontId="3" fillId="9" borderId="25" xfId="0" applyNumberFormat="1" applyFont="1" applyFill="1" applyBorder="1" applyAlignment="1">
      <x:alignment horizontal="center" vertical="top" wrapText="1"/>
    </x:xf>
    <x:xf numFmtId="0" fontId="3" fillId="11" borderId="25" xfId="0" applyNumberFormat="1" applyFont="1" applyFill="1" applyBorder="1" applyAlignment="1">
      <x:alignment horizontal="center" vertical="top" wrapText="1"/>
    </x:xf>
    <x:xf numFmtId="0" fontId="3" fillId="7" borderId="25" xfId="0" applyNumberFormat="1" applyFont="1" applyFill="1" applyBorder="1" applyAlignment="1">
      <x:alignment horizontal="center" vertical="center" wrapText="1"/>
    </x:xf>
    <x:xf numFmtId="0" fontId="3" fillId="9" borderId="25" xfId="0" applyNumberFormat="1" applyFont="1" applyFill="1" applyBorder="1" applyAlignment="1">
      <x:alignment horizontal="center" vertical="center" wrapText="1"/>
    </x:xf>
    <x:xf numFmtId="0" fontId="3" fillId="11" borderId="25" xfId="0" applyNumberFormat="1" applyFont="1" applyFill="1" applyBorder="1" applyAlignment="1">
      <x:alignment horizontal="center" vertical="center" wrapText="1"/>
    </x:xf>
    <x:xf numFmtId="0" fontId="8" fillId="7" borderId="22" xfId="0" applyNumberFormat="1" applyFont="1" applyFill="1" applyBorder="1" applyAlignment="1">
      <x:alignment horizontal="center" vertical="top" wrapText="1"/>
    </x:xf>
    <x:xf numFmtId="0" fontId="8" fillId="9" borderId="22" xfId="0" applyNumberFormat="1" applyFont="1" applyFill="1" applyBorder="1" applyAlignment="1">
      <x:alignment horizontal="center" vertical="top" wrapText="1"/>
    </x:xf>
    <x:xf numFmtId="0" fontId="8" fillId="11" borderId="22" xfId="0" applyNumberFormat="1" applyFont="1" applyFill="1" applyBorder="1" applyAlignment="1">
      <x:alignment horizontal="center" vertical="top" wrapText="1"/>
    </x:xf>
    <x:xf numFmtId="0" fontId="8" fillId="7" borderId="23" xfId="0" applyNumberFormat="1" applyFont="1" applyFill="1" applyBorder="1" applyAlignment="1">
      <x:alignment horizontal="center" vertical="top" wrapText="1"/>
    </x:xf>
    <x:xf numFmtId="0" fontId="8" fillId="9" borderId="23" xfId="0" applyNumberFormat="1" applyFont="1" applyFill="1" applyBorder="1" applyAlignment="1">
      <x:alignment horizontal="center" vertical="top" wrapText="1"/>
    </x:xf>
    <x:xf numFmtId="0" fontId="8" fillId="11" borderId="23" xfId="0" applyNumberFormat="1" applyFont="1" applyFill="1" applyBorder="1" applyAlignment="1">
      <x:alignment horizontal="center" vertical="top" wrapText="1"/>
    </x:xf>
    <x:xf numFmtId="201" fontId="8" fillId="7" borderId="22" xfId="0" applyNumberFormat="1" applyFont="1" applyFill="1" applyBorder="1" applyAlignment="1">
      <x:alignment horizontal="center" vertical="top" wrapText="1"/>
    </x:xf>
    <x:xf numFmtId="201" fontId="8" fillId="9" borderId="22" xfId="0" applyNumberFormat="1" applyFont="1" applyFill="1" applyBorder="1" applyAlignment="1">
      <x:alignment horizontal="center" vertical="top" wrapText="1"/>
    </x:xf>
    <x:xf numFmtId="201" fontId="8" fillId="11" borderId="22" xfId="0" applyNumberFormat="1" applyFont="1" applyFill="1" applyBorder="1" applyAlignment="1">
      <x:alignment horizontal="center" vertical="top" wrapText="1"/>
    </x:xf>
    <x:xf numFmtId="201" fontId="8" fillId="7" borderId="23" xfId="0" applyNumberFormat="1" applyFont="1" applyFill="1" applyBorder="1" applyAlignment="1">
      <x:alignment horizontal="center" vertical="top" wrapText="1"/>
    </x:xf>
    <x:xf numFmtId="201" fontId="8" fillId="9" borderId="23" xfId="0" applyNumberFormat="1" applyFont="1" applyFill="1" applyBorder="1" applyAlignment="1">
      <x:alignment horizontal="center" vertical="top" wrapText="1"/>
    </x:xf>
    <x:xf numFmtId="201" fontId="8" fillId="11" borderId="23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8" fillId="11" borderId="0" xfId="0" applyNumberFormat="1" applyFont="1" applyFill="1" applyBorder="1"/>
    <x:xf numFmtId="201" fontId="8" fillId="11" borderId="0" xfId="0" applyNumberFormat="1" applyFont="1" applyFill="1" applyBorder="1"/>
    <x:xf numFmtId="0" fontId="8" fillId="11" borderId="2" xfId="0" applyNumberFormat="1" applyFont="1" applyFill="1" applyBorder="1"/>
    <x:xf numFmtId="201" fontId="8" fillId="11" borderId="22" xfId="0" applyNumberFormat="1" applyFont="1" applyFill="1" applyBorder="1"/>
    <x:xf numFmtId="0" fontId="8" fillId="11" borderId="22" xfId="0" applyNumberFormat="1" applyFont="1" applyFill="1" applyBorder="1"/>
    <x:xf numFmtId="0" fontId="8" fillId="11" borderId="3" xfId="0" applyNumberFormat="1" applyFont="1" applyFill="1" applyBorder="1"/>
    <x:xf numFmtId="0" fontId="8" fillId="11" borderId="2" xfId="0" applyNumberFormat="1" applyFont="1" applyFill="1" applyBorder="1" applyAlignment="1">
      <x:alignment wrapText="1"/>
    </x:xf>
    <x:xf numFmtId="201" fontId="8" fillId="11" borderId="22" xfId="0" applyNumberFormat="1" applyFont="1" applyFill="1" applyBorder="1" applyAlignment="1">
      <x:alignment wrapText="1"/>
    </x:xf>
    <x:xf numFmtId="0" fontId="8" fillId="11" borderId="22" xfId="0" applyNumberFormat="1" applyFont="1" applyFill="1" applyBorder="1" applyAlignment="1">
      <x:alignment wrapText="1"/>
    </x:xf>
    <x:xf numFmtId="0" fontId="8" fillId="11" borderId="3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201" fontId="0" fillId="11" borderId="1" xfId="0" applyNumberFormat="1" applyFont="1" applyFill="1" applyBorder="1"/>
    <x:xf numFmtId="0" fontId="8" fillId="11" borderId="1" xfId="0" applyNumberFormat="1" applyFont="1" applyFill="1" applyBorder="1"/>
    <x:xf numFmtId="201" fontId="8" fillId="11" borderId="1" xfId="0" applyNumberFormat="1" applyFont="1" applyFill="1" applyBorder="1"/>
    <x:xf numFmtId="0" fontId="8" fillId="11" borderId="4" xfId="0" applyNumberFormat="1" applyFont="1" applyFill="1" applyBorder="1"/>
    <x:xf numFmtId="201" fontId="8" fillId="11" borderId="23" xfId="0" applyNumberFormat="1" applyFont="1" applyFill="1" applyBorder="1"/>
    <x:xf numFmtId="0" fontId="8" fillId="11" borderId="23" xfId="0" applyNumberFormat="1" applyFont="1" applyFill="1" applyBorder="1"/>
    <x:xf numFmtId="0" fontId="8" fillId="11" borderId="5" xfId="0" applyNumberFormat="1" applyFont="1" applyFill="1" applyBorder="1"/>
    <x:xf numFmtId="0" fontId="8" fillId="11" borderId="4" xfId="0" applyNumberFormat="1" applyFont="1" applyFill="1" applyBorder="1" applyAlignment="1">
      <x:alignment wrapText="1"/>
    </x:xf>
    <x:xf numFmtId="201" fontId="8" fillId="11" borderId="23" xfId="0" applyNumberFormat="1" applyFont="1" applyFill="1" applyBorder="1" applyAlignment="1">
      <x:alignment wrapText="1"/>
    </x:xf>
    <x:xf numFmtId="0" fontId="8" fillId="11" borderId="23" xfId="0" applyNumberFormat="1" applyFont="1" applyFill="1" applyBorder="1" applyAlignment="1">
      <x:alignment wrapText="1"/>
    </x:xf>
    <x:xf numFmtId="0" fontId="8" fillId="11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22" xfId="0" applyNumberFormat="1" applyFont="1" applyFill="1" applyBorder="1"/>
    <x:xf numFmtId="0" fontId="8" fillId="7" borderId="3" xfId="0" applyNumberFormat="1" applyFont="1" applyFill="1" applyBorder="1"/>
    <x:xf numFmtId="0" fontId="8" fillId="7" borderId="2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23" xfId="0" applyNumberFormat="1" applyFont="1" applyFill="1" applyBorder="1"/>
    <x:xf numFmtId="0" fontId="8" fillId="7" borderId="5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" xfId="0" applyNumberFormat="1" applyFont="1" applyFill="1" applyBorder="1"/>
    <x:xf numFmtId="0" fontId="8" fillId="9" borderId="22" xfId="0" applyNumberFormat="1" applyFont="1" applyFill="1" applyBorder="1"/>
    <x:xf numFmtId="0" fontId="8" fillId="9" borderId="3" xfId="0" applyNumberFormat="1" applyFont="1" applyFill="1" applyBorder="1"/>
    <x:xf numFmtId="0" fontId="8" fillId="9" borderId="2" xfId="0" applyNumberFormat="1" applyFont="1" applyFill="1" applyBorder="1" applyAlignment="1">
      <x:alignment wrapText="1"/>
    </x:xf>
    <x:xf numFmtId="0" fontId="8" fillId="9" borderId="22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4" xfId="0" applyNumberFormat="1" applyFont="1" applyFill="1" applyBorder="1"/>
    <x:xf numFmtId="0" fontId="8" fillId="9" borderId="23" xfId="0" applyNumberFormat="1" applyFont="1" applyFill="1" applyBorder="1"/>
    <x:xf numFmtId="0" fontId="8" fillId="9" borderId="5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23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2" xfId="0" applyNumberFormat="1" applyFont="1" applyFill="1" applyBorder="1"/>
    <x:xf numFmtId="0" fontId="8" fillId="12" borderId="22" xfId="0" applyNumberFormat="1" applyFont="1" applyFill="1" applyBorder="1"/>
    <x:xf numFmtId="0" fontId="8" fillId="12" borderId="3" xfId="0" applyNumberFormat="1" applyFont="1" applyFill="1" applyBorder="1"/>
    <x:xf numFmtId="0" fontId="8" fillId="12" borderId="2" xfId="0" applyNumberFormat="1" applyFont="1" applyFill="1" applyBorder="1" applyAlignment="1">
      <x:alignment wrapText="1"/>
    </x:xf>
    <x:xf numFmtId="0" fontId="8" fillId="12" borderId="22" xfId="0" applyNumberFormat="1" applyFont="1" applyFill="1" applyBorder="1" applyAlignment="1">
      <x:alignment wrapText="1"/>
    </x:xf>
    <x:xf numFmtId="0" fontId="8" fillId="12" borderId="3" xfId="0" applyNumberFormat="1" applyFont="1" applyFill="1" applyBorder="1" applyAlignment="1">
      <x:alignment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22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8" fillId="12" borderId="4" xfId="0" applyNumberFormat="1" applyFont="1" applyFill="1" applyBorder="1"/>
    <x:xf numFmtId="0" fontId="8" fillId="12" borderId="23" xfId="0" applyNumberFormat="1" applyFont="1" applyFill="1" applyBorder="1"/>
    <x:xf numFmtId="0" fontId="8" fillId="12" borderId="5" xfId="0" applyNumberFormat="1" applyFont="1" applyFill="1" applyBorder="1"/>
    <x:xf numFmtId="0" fontId="8" fillId="12" borderId="4" xfId="0" applyNumberFormat="1" applyFont="1" applyFill="1" applyBorder="1" applyAlignment="1">
      <x:alignment wrapText="1"/>
    </x:xf>
    <x:xf numFmtId="0" fontId="8" fillId="12" borderId="23" xfId="0" applyNumberFormat="1" applyFont="1" applyFill="1" applyBorder="1" applyAlignment="1">
      <x:alignment wrapText="1"/>
    </x:xf>
    <x:xf numFmtId="0" fontId="8" fillId="12" borderId="5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vertical="top" wrapText="1"/>
    </x:xf>
    <x:xf numFmtId="0" fontId="8" fillId="12" borderId="23" xfId="0" applyNumberFormat="1" applyFont="1" applyFill="1" applyBorder="1" applyAlignment="1">
      <x:alignment vertical="top" wrapText="1"/>
    </x:xf>
    <x:xf numFmtId="0" fontId="8" fillId="12" borderId="5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9" xfId="0" applyNumberFormat="1" applyFont="1" applyFill="1" applyBorder="1"/>
    <x:xf numFmtId="0" fontId="3" fillId="3" borderId="20" xfId="0" applyNumberFormat="1" applyFont="1" applyFill="1" applyBorder="1"/>
    <x:xf numFmtId="0" fontId="3" fillId="3" borderId="21" xfId="0" applyNumberFormat="1" applyFont="1" applyFill="1" applyBorder="1"/>
    <x:xf numFmtId="0" fontId="3" fillId="3" borderId="14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wrapText="1"/>
    </x:xf>
    <x:xf numFmtId="0" fontId="3" fillId="3" borderId="19" xfId="0" applyNumberFormat="1" applyFont="1" applyFill="1" applyBorder="1" applyAlignment="1">
      <x:alignment wrapText="1"/>
    </x:xf>
    <x:xf numFmtId="0" fontId="3" fillId="3" borderId="20" xfId="0" applyNumberFormat="1" applyFont="1" applyFill="1" applyBorder="1" applyAlignment="1">
      <x:alignment wrapText="1"/>
    </x:xf>
    <x:xf numFmtId="0" fontId="3" fillId="3" borderId="21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9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8fc7af0a14f9d" /><Relationship Type="http://schemas.openxmlformats.org/officeDocument/2006/relationships/theme" Target="/xl/theme/theme1.xml" Id="Rc983f452d579438f" /><Relationship Type="http://schemas.openxmlformats.org/officeDocument/2006/relationships/sharedStrings" Target="/xl/sharedStrings.xml" Id="Rb44ab31041324cd7" /><Relationship Type="http://schemas.openxmlformats.org/officeDocument/2006/relationships/worksheet" Target="/xl/worksheets/sheet1.xml" Id="R91219a29ffe243a2" /><Relationship Type="http://schemas.openxmlformats.org/officeDocument/2006/relationships/worksheet" Target="/xl/worksheets/sheet2.xml" Id="R1b795590d66343d0" /><Relationship Type="http://schemas.openxmlformats.org/officeDocument/2006/relationships/worksheet" Target="/xl/worksheets/sheet3.xml" Id="Rc4008d20a1da4e3d" /><Relationship Type="http://schemas.openxmlformats.org/officeDocument/2006/relationships/worksheet" Target="/xl/worksheets/sheet4.xml" Id="R2fb8daab19af43bc" /><Relationship Type="http://schemas.openxmlformats.org/officeDocument/2006/relationships/worksheet" Target="/xl/worksheets/sheet5.xml" Id="R28dc105f9a9a4cca" /><Relationship Type="http://schemas.openxmlformats.org/officeDocument/2006/relationships/worksheet" Target="/xl/worksheets/sheet6.xml" Id="R79a8c7be0c7e4c8c" /></Relationships>
</file>

<file path=xl/tables/table1.xml><?xml version="1.0" encoding="utf-8"?>
<x:table xmlns:x="http://schemas.openxmlformats.org/spreadsheetml/2006/main" id="1" name="SignalRegisterTable" displayName="SignalRegisterTable" ref="A4:S17" headerRowCount="1">
  <x:tableColumns count="19">
    <x:tableColumn id="1" name="Signal ID"/>
    <x:tableColumn id="2" name="Publication date"/>
    <x:tableColumn id="3" name="Source class"/>
    <x:tableColumn id="4" name="Source"/>
    <x:tableColumn id="5" name="Headline"/>
    <x:tableColumn id="6" name="Disposition"/>
    <x:tableColumn id="7" name="Materiality (0-5)"/>
    <x:tableColumn id="8" name="RH relevance (0-5)"/>
    <x:tableColumn id="9" name="Seller actionability (0-5)"/>
    <x:tableColumn id="10" name="Evidence quality (0-5)"/>
    <x:tableColumn id="11" name="Recency / novelty (0-5)"/>
    <x:tableColumn id="12" name="Weighted score"/>
    <x:tableColumn id="13" name="Event type"/>
    <x:tableColumn id="14" name="Dedupe group"/>
    <x:tableColumn id="15" name="Account relevance (factual)"/>
    <x:tableColumn id="16" name="Red Hat conversation hypothesis"/>
    <x:tableColumn id="17" name="Suggested seller action"/>
    <x:tableColumn id="18" name="Filter rationale / note"/>
    <x:tableColumn id="19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FilteredOutTable" displayName="FilteredOutTable" ref="A4:H11" headerRowCount="1">
  <x:tableColumns count="8">
    <x:tableColumn id="1" name="Signal ID"/>
    <x:tableColumn id="2" name="Publication date"/>
    <x:tableColumn id="3" name="Headline"/>
    <x:tableColumn id="4" name="Source"/>
    <x:tableColumn id="5" name="Why it was rejected"/>
    <x:tableColumn id="6" name="Would it be retained anywhere?"/>
    <x:tableColumn id="7" name="Source URL"/>
    <x:tableColumn id="8" name="Review note"/>
  </x:tableColumns>
  <x:tableStyleInfo name="TableStyleMedium2" showRowStripes="1"/>
</x:table>
</file>

<file path=xl/tables/table3.xml><?xml version="1.0" encoding="utf-8"?>
<x:table xmlns:x="http://schemas.openxmlformats.org/spreadsheetml/2006/main" id="3" name="MotionCatalogTable" displayName="MotionCatalogTable" ref="A4:F9" headerRowCount="1">
  <x:tableColumns count="6">
    <x:tableColumn id="1" name="Red Hat motion"/>
    <x:tableColumn id="2" name="Customer trigger to detect"/>
    <x:tableColumn id="3" name="Evidence threshold"/>
    <x:tableColumn id="4" name="Seller discovery question"/>
    <x:tableColumn id="5" name="Relevant official Red Hat reference"/>
    <x:tableColumn id="6" name="Referen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f79d2438b40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c9800ccf9748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d481fb5972463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27" hidden="0" customWidth="1"/>
    <x:col min="5" max="5" width="16" hidden="0" customWidth="1"/>
    <x:col min="6" max="6" width="20" hidden="0" customWidth="1"/>
    <x:col min="7" max="7" width="16" hidden="0" customWidth="1"/>
    <x:col min="8" max="8" width="28" hidden="0" customWidth="1"/>
  </x:cols>
  <x:sheetData>
    <x:row r="1" ht="30" customHeight="1">
      <x:c r="A1" s="5" t="str">
        <x:v>External Account Signal Monitor | First PoC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JPMORGAN CHASE (JPMC) • Enterprise / NA_COMM / FSI • Manually curated public-source PoC • Evidence checked 23 Jun 2026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Signals reviewed</x:v>
      </x:c>
      <x:c r="B4" s="21"/>
      <x:c r="C4" s="21" t="str">
        <x:v>Kept + watch</x:v>
      </x:c>
      <x:c r="D4" s="21"/>
      <x:c r="E4" s="21" t="str">
        <x:v>Rejected as noise</x:v>
      </x:c>
      <x:c r="F4" s="21"/>
      <x:c r="G4" s="21" t="str">
        <x:v>Highest priority</x:v>
      </x:c>
      <x:c r="H4" s="21"/>
    </x:row>
    <x:row r="5" ht="30" customHeight="1">
      <x:c r="A5" s="32" t="n">
        <x:f>COUNTA('Signal Register'!A5:A17)</x:f>
        <x:v>13</x:v>
      </x:c>
      <x:c r="B5" s="33"/>
      <x:c r="C5" s="32" t="n">
        <x:f>COUNTIF('Signal Register'!F5:F17,"Keep")+COUNTIF('Signal Register'!F5:F17,"Watch")</x:f>
        <x:v>6</x:v>
      </x:c>
      <x:c r="D5" s="33"/>
      <x:c r="E5" s="32" t="n">
        <x:f>COUNTIF('Signal Register'!F5:F17,"Reject")</x:f>
        <x:v>7</x:v>
      </x:c>
      <x:c r="F5" s="33"/>
      <x:c r="G5" s="42" t="n">
        <x:f>MAX('Signal Register'!L5:L17)</x:f>
        <x:v>100</x:v>
      </x:c>
      <x:c r="H5" s="43"/>
    </x:row>
    <x:row r="7" ht="22" customHeight="1">
      <x:c r="A7" s="49" t="str">
        <x:v>EXECUTIVE SIGNAL SUMMARY</x:v>
      </x:c>
      <x:c r="B7" s="49"/>
      <x:c r="C7" s="49"/>
      <x:c r="D7" s="49"/>
      <x:c r="E7" s="49"/>
      <x:c r="F7" s="49"/>
      <x:c r="G7" s="49"/>
      <x:c r="H7" s="49"/>
    </x:row>
    <x:row r="8" ht="28" customHeight="1">
      <x:c r="A8" s="72" t="str">
        <x:v>Public signals point to JPMorgan moving from AI experimentation toward broader operationalization: its commercial and investment bank put data and AI strategy under a COO-led structure; Reuters also reported a global investment-banking AI-tool rollout. JPMorganChase’s own technology content emphasizes secure data/tool access, AI-agent security, and continued inference demand. This does NOT establish a Red Hat opportunity. It provides evidence-backed account-team questions to validate around AI lifecycle operations, governance, hybrid platforms, automation, and security controls.</x:v>
      </x:c>
      <x:c r="B8" s="73"/>
      <x:c r="C8" s="73"/>
      <x:c r="D8" s="73"/>
      <x:c r="E8" s="73"/>
      <x:c r="F8" s="73"/>
      <x:c r="G8" s="73"/>
      <x:c r="H8" s="74"/>
    </x:row>
    <x:row r="9" ht="28" customHeight="1">
      <x:c r="A9" s="75"/>
      <x:c r="B9" s="76"/>
      <x:c r="C9" s="76"/>
      <x:c r="D9" s="76"/>
      <x:c r="E9" s="76"/>
      <x:c r="F9" s="76"/>
      <x:c r="G9" s="76"/>
      <x:c r="H9" s="77"/>
    </x:row>
    <x:row r="10" ht="28" customHeight="1">
      <x:c r="A10" s="78"/>
      <x:c r="B10" s="79"/>
      <x:c r="C10" s="79"/>
      <x:c r="D10" s="79"/>
      <x:c r="E10" s="79"/>
      <x:c r="F10" s="79"/>
      <x:c r="G10" s="79"/>
      <x:c r="H10" s="80"/>
    </x:row>
    <x:row r="12" ht="22" customHeight="1">
      <x:c r="A12" s="49" t="str">
        <x:v>TOP SELLER SIGNALS — ACT / VALIDATE</x:v>
      </x:c>
      <x:c r="B12" s="49"/>
      <x:c r="C12" s="49"/>
      <x:c r="D12" s="49"/>
      <x:c r="E12" s="49"/>
      <x:c r="F12" s="49"/>
      <x:c r="G12" s="49"/>
      <x:c r="H12" s="49"/>
    </x:row>
    <x:row r="13" ht="30" customHeight="1">
      <x:c r="A13" s="111" t="str">
        <x:v>Score</x:v>
      </x:c>
      <x:c r="B13" s="111" t="str">
        <x:v>What changed</x:v>
      </x:c>
      <x:c r="C13" s="111" t="str"/>
      <x:c r="D13" s="111" t="str">
        <x:v>Why this matters</x:v>
      </x:c>
      <x:c r="E13" s="111" t="str"/>
      <x:c r="F13" s="111" t="str">
        <x:v>Red Hat lens</x:v>
      </x:c>
      <x:c r="G13" s="111" t="str"/>
      <x:c r="H13" s="111" t="str">
        <x:v>Suggested seller move</x:v>
      </x:c>
    </x:row>
    <x:row r="14" ht="58" customHeight="1">
      <x:c r="A14" s="140" t="n">
        <x:v>100</x:v>
      </x:c>
      <x:c r="B14" s="124" t="str">
        <x:v>Global AI-tool rollout in investment banking</x:v>
      </x:c>
      <x:c r="C14" s="124"/>
      <x:c r="D14" s="124" t="str">
        <x:v>Reuters reports JPMorgan is implementing AI tools across investment banking globally.</x:v>
      </x:c>
      <x:c r="E14" s="124"/>
      <x:c r="F14" s="124" t="str">
        <x:v>AI platform; app modernization; automation</x:v>
      </x:c>
      <x:c r="G14" s="124"/>
      <x:c r="H14" s="125" t="str">
        <x:v>Validate standardized deployment, model/app lifecycle, and operations/control constraints.</x:v>
      </x:c>
    </x:row>
    <x:row r="15" ht="58" customHeight="1">
      <x:c r="A15" s="140" t="n">
        <x:v>98</x:v>
      </x:c>
      <x:c r="B15" s="155" t="str">
        <x:v>CIB data-and-AI operating-model change</x:v>
      </x:c>
      <x:c r="C15" s="155"/>
      <x:c r="D15" s="155" t="str">
        <x:v>COO-led data and AI strategy addresses data quality, governance, AI-agent infrastructure, and transformation.</x:v>
      </x:c>
      <x:c r="E15" s="155"/>
      <x:c r="F15" s="155" t="str">
        <x:v>AI platform; automation; hybrid operations</x:v>
      </x:c>
      <x:c r="G15" s="155"/>
      <x:c r="H15" s="156" t="str">
        <x:v>Map ownership: who governs data/AI, who operates platforms, and where control gaps exist.</x:v>
      </x:c>
    </x:row>
    <x:row r="16" ht="58" customHeight="1">
      <x:c r="A16" s="172" t="n">
        <x:v>81</x:v>
      </x:c>
      <x:c r="B16" s="124" t="str">
        <x:v>AI architecture and inference direction</x:v>
      </x:c>
      <x:c r="C16" s="124"/>
      <x:c r="D16" s="124" t="str">
        <x:v>JPMorganChase's technology team highlights secure data/tool access for AI agents and continued AI-inference buildout.</x:v>
      </x:c>
      <x:c r="E16" s="124"/>
      <x:c r="F16" s="124" t="str">
        <x:v>AI platform; hybrid cloud; app platform</x:v>
      </x:c>
      <x:c r="G16" s="124"/>
      <x:c r="H16" s="125" t="str">
        <x:v>Use as a hypothesis; confirm which AI/data/platform priorities are active for this account.</x:v>
      </x:c>
    </x:row>
    <x:row r="18" ht="22" customHeight="1">
      <x:c r="A18" s="49" t="str">
        <x:v>RECOMMENDED ACCOUNT-TEAM MOVES</x:v>
      </x:c>
      <x:c r="B18" s="49"/>
      <x:c r="C18" s="49"/>
      <x:c r="D18" s="49"/>
      <x:c r="E18" s="49"/>
      <x:c r="F18" s="49"/>
      <x:c r="G18" s="49"/>
      <x:c r="H18" s="49"/>
    </x:row>
    <x:row r="19">
      <x:c r="A19" s="111" t="str">
        <x:v>#</x:v>
      </x:c>
      <x:c r="B19" s="111" t="str">
        <x:v>Move</x:v>
      </x:c>
      <x:c r="C19" s="111" t="str"/>
      <x:c r="D19" s="111" t="str">
        <x:v>Discovery question / next action</x:v>
      </x:c>
      <x:c r="E19" s="111" t="str"/>
      <x:c r="F19" s="111" t="str"/>
      <x:c r="G19" s="111" t="str"/>
      <x:c r="H19" s="111" t="str"/>
    </x:row>
    <x:row r="20" ht="42" customHeight="1">
      <x:c r="A20" s="182" t="str">
        <x:v>1</x:v>
      </x:c>
      <x:c r="B20" s="124" t="str">
        <x:v>Confirm the current AI operating model.</x:v>
      </x:c>
      <x:c r="C20" s="124"/>
      <x:c r="D20" s="124" t="str">
        <x:v>Which organization owns AI strategy, data governance, platform standards, and production operations for the relevant JPMorgan business unit?</x:v>
      </x:c>
      <x:c r="E20" s="124"/>
      <x:c r="F20" s="124"/>
      <x:c r="G20" s="124"/>
      <x:c r="H20" s="125"/>
    </x:row>
    <x:row r="21" ht="42" customHeight="1">
      <x:c r="A21" s="182" t="str">
        <x:v>2</x:v>
      </x:c>
      <x:c r="B21" s="155" t="str">
        <x:v>Separate initiative from architecture.</x:v>
      </x:c>
      <x:c r="C21" s="155"/>
      <x:c r="D21" s="155" t="str">
        <x:v>Where are AI tools, models, and agentic workflows actually deployed today; which environments are strategic; what lifecycle, control, security, and audit requirements are binding?</x:v>
      </x:c>
      <x:c r="E21" s="155"/>
      <x:c r="F21" s="155"/>
      <x:c r="G21" s="155"/>
      <x:c r="H21" s="156"/>
    </x:row>
    <x:row r="22" ht="42" customHeight="1">
      <x:c r="A22" s="182" t="str">
        <x:v>3</x:v>
      </x:c>
      <x:c r="B22" s="124" t="str">
        <x:v>Identify an operational workflow, not a product target.</x:v>
      </x:c>
      <x:c r="C22" s="124"/>
      <x:c r="D22" s="124" t="str">
        <x:v>Which workflow has a stated need for modernization, automation, secure data access, or AI-enabled transformation—and what outcome is being measured?</x:v>
      </x:c>
      <x:c r="E22" s="124"/>
      <x:c r="F22" s="124"/>
      <x:c r="G22" s="124"/>
      <x:c r="H22" s="125"/>
    </x:row>
    <x:row r="25" ht="22" customHeight="1">
      <x:c r="A25" s="49" t="str">
        <x:v>POC GUARDRAILS</x:v>
      </x:c>
      <x:c r="B25" s="49"/>
      <x:c r="C25" s="49"/>
      <x:c r="D25" s="49"/>
      <x:c r="E25" s="49"/>
      <x:c r="F25" s="49"/>
      <x:c r="G25" s="49"/>
      <x:c r="H25" s="49"/>
    </x:row>
    <x:row r="26" ht="34" customHeight="1">
      <x:c r="A26" s="196" t="str">
        <x:v>• This POC maps external events to Red Hat conversation hypotheses. It does not assert a customer requirement, opportunity, product fit, buying intent, or deployment environment.</x:v>
      </x:c>
      <x:c r="B26" s="197"/>
      <x:c r="C26" s="197"/>
      <x:c r="D26" s="197"/>
      <x:c r="E26" s="197"/>
      <x:c r="F26" s="197"/>
      <x:c r="G26" s="197"/>
      <x:c r="H26" s="198"/>
    </x:row>
    <x:row r="27" ht="34" customHeight="1">
      <x:c r="A27" s="196" t="str">
        <x:v>• Every alertable signal must retain a source URL, publication date, disposition, score rationale, and explicit seller action.</x:v>
      </x:c>
      <x:c r="B27" s="197"/>
      <x:c r="C27" s="197"/>
      <x:c r="D27" s="197"/>
      <x:c r="E27" s="197"/>
      <x:c r="F27" s="197"/>
      <x:c r="G27" s="197"/>
      <x:c r="H27" s="198"/>
    </x:row>
    <x:row r="28" ht="34" customHeight="1">
      <x:c r="A28" s="196" t="str">
        <x:v>• The high-value visible result is the Account Pulse. Detail, raw input, exclusion rationale, and scoring remain on supporting sheets.</x:v>
      </x:c>
      <x:c r="B28" s="197"/>
      <x:c r="C28" s="197"/>
      <x:c r="D28" s="197"/>
      <x:c r="E28" s="197"/>
      <x:c r="F28" s="197"/>
      <x:c r="G28" s="197"/>
      <x:c r="H28" s="198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H7"/>
    <x:mergeCell ref="A8:H10"/>
    <x:mergeCell ref="A12:H12"/>
    <x:mergeCell ref="B13:C13"/>
    <x:mergeCell ref="D13:E13"/>
    <x:mergeCell ref="F13:G13"/>
    <x:mergeCell ref="B14:C14"/>
    <x:mergeCell ref="D14:E14"/>
    <x:mergeCell ref="F14:G14"/>
    <x:mergeCell ref="B15:C15"/>
    <x:mergeCell ref="D15:E15"/>
    <x:mergeCell ref="F15:G15"/>
    <x:mergeCell ref="B16:C16"/>
    <x:mergeCell ref="D16:E16"/>
    <x:mergeCell ref="F16:G16"/>
    <x:mergeCell ref="A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25:H25"/>
    <x:mergeCell ref="A26:H26"/>
    <x:mergeCell ref="A27:H27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9" hidden="0" customWidth="1"/>
    <x:col min="5" max="5" width="34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3" hidden="0" customWidth="1"/>
    <x:col min="11" max="11" width="13" hidden="0" customWidth="1"/>
    <x:col min="12" max="12" width="11" hidden="0" customWidth="1"/>
    <x:col min="13" max="13" width="19" hidden="0" customWidth="1"/>
    <x:col min="14" max="14" width="10" hidden="0" customWidth="1"/>
    <x:col min="15" max="15" width="45" hidden="0" customWidth="1"/>
    <x:col min="16" max="16" width="33" hidden="0" customWidth="1"/>
    <x:col min="17" max="17" width="38" hidden="0" customWidth="1"/>
    <x:col min="18" max="18" width="33" hidden="0" customWidth="1"/>
    <x:col min="19" max="19" width="46" hidden="0" customWidth="1"/>
  </x:cols>
  <x:sheetData>
    <x:row r="1" ht="28" customHeight="1">
      <x:c r="A1" s="5" t="str">
        <x:v>Signal Register | Full externally sourced event set and disposition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8" customHeight="1">
      <x:c r="A2" s="212" t="str">
        <x:v>Each record is an externally sourced item reviewed for account materiality, Red Hat relevance, seller actionability, evidence quality, recency/novelty, and duplicate status. Scores are a controlled POC rubric, not model confidence.</x:v>
      </x:c>
      <x:c r="B2" s="212"/>
      <x:c r="C2" s="212"/>
      <x:c r="D2" s="212"/>
      <x:c r="E2" s="212"/>
      <x:c r="F2" s="212"/>
      <x:c r="G2" s="212"/>
      <x:c r="H2" s="212"/>
      <x:c r="I2" s="212"/>
      <x:c r="J2" s="212"/>
      <x:c r="K2" s="212"/>
      <x:c r="L2" s="212"/>
      <x:c r="M2" s="212"/>
      <x:c r="N2" s="212"/>
      <x:c r="O2" s="212"/>
      <x:c r="P2" s="212"/>
      <x:c r="Q2" s="212"/>
      <x:c r="R2" s="212"/>
    </x:row>
    <x:row r="4" ht="36" customHeight="1">
      <x:c r="A4" s="111" t="str">
        <x:v>Signal ID</x:v>
      </x:c>
      <x:c r="B4" s="111" t="str">
        <x:v>Publication date</x:v>
      </x:c>
      <x:c r="C4" s="111" t="str">
        <x:v>Source class</x:v>
      </x:c>
      <x:c r="D4" s="111" t="str">
        <x:v>Source</x:v>
      </x:c>
      <x:c r="E4" s="111" t="str">
        <x:v>Headline</x:v>
      </x:c>
      <x:c r="F4" s="111" t="str">
        <x:v>Disposition</x:v>
      </x:c>
      <x:c r="G4" s="111" t="str">
        <x:v>Materiality (0-5)</x:v>
      </x:c>
      <x:c r="H4" s="111" t="str">
        <x:v>RH relevance (0-5)</x:v>
      </x:c>
      <x:c r="I4" s="111" t="str">
        <x:v>Seller actionability (0-5)</x:v>
      </x:c>
      <x:c r="J4" s="111" t="str">
        <x:v>Evidence quality (0-5)</x:v>
      </x:c>
      <x:c r="K4" s="111" t="str">
        <x:v>Recency / novelty (0-5)</x:v>
      </x:c>
      <x:c r="L4" s="111" t="str">
        <x:v>Weighted score</x:v>
      </x:c>
      <x:c r="M4" s="111" t="str">
        <x:v>Event type</x:v>
      </x:c>
      <x:c r="N4" s="111" t="str">
        <x:v>Dedupe group</x:v>
      </x:c>
      <x:c r="O4" s="111" t="str">
        <x:v>Account relevance (factual)</x:v>
      </x:c>
      <x:c r="P4" s="111" t="str">
        <x:v>Red Hat conversation hypothesis</x:v>
      </x:c>
      <x:c r="Q4" s="111" t="str">
        <x:v>Suggested seller action</x:v>
      </x:c>
      <x:c r="R4" s="111" t="str">
        <x:v>Filter rationale / note</x:v>
      </x:c>
      <x:c r="S4" s="111" t="str">
        <x:v>Source URL</x:v>
      </x:c>
    </x:row>
    <x:row r="5" ht="70" customHeight="1">
      <x:c r="A5" s="136" t="str">
        <x:v>S-001</x:v>
      </x:c>
      <x:c r="B5" s="296" t="n">
        <x:v>46065</x:v>
      </x:c>
      <x:c r="C5" s="247" t="str">
        <x:v>Independent reporting</x:v>
      </x:c>
      <x:c r="D5" s="247" t="str">
        <x:v>Reuters</x:v>
      </x:c>
      <x:c r="E5" s="247" t="str">
        <x:v>CIB appoints Guy Halamish as COO to oversee data and AI strategy</x:v>
      </x:c>
      <x:c r="F5" s="247" t="str">
        <x:v>Keep</x:v>
      </x:c>
      <x:c r="G5" s="290" t="n">
        <x:v>5</x:v>
      </x:c>
      <x:c r="H5" s="290" t="n">
        <x:v>5</x:v>
      </x:c>
      <x:c r="I5" s="290" t="n">
        <x:v>5</x:v>
      </x:c>
      <x:c r="J5" s="290" t="n">
        <x:v>5</x:v>
      </x:c>
      <x:c r="K5" s="290" t="n">
        <x:v>4</x:v>
      </x:c>
      <x:c r="L5" s="275" t="n">
        <x:f>ROUND((G5/5*30)+(H5/5*25)+(I5/5*20)+(J5/5*15)+(K5/5*10),0)</x:f>
        <x:v>98</x:v>
      </x:c>
      <x:c r="M5" s="247" t="str">
        <x:v>Operating model / governance</x:v>
      </x:c>
      <x:c r="N5" s="247" t="str">
        <x:v>D-001</x:v>
      </x:c>
      <x:c r="O5" s="247" t="str">
        <x:v>CIB data and analytics leaders will report jointly into the new structure; Reuters reports the team will focus on data quality, governance, AI-agent infrastructure, and end-to-end transformation.</x:v>
      </x:c>
      <x:c r="P5" s="247" t="str">
        <x:v>AI platform; automation; hybrid operations</x:v>
      </x:c>
      <x:c r="Q5" s="247" t="str">
        <x:v>Validate CIB ownership for data/AI, the operating model for AI agents, and where platform, governance, and automation requirements sit.</x:v>
      </x:c>
      <x:c r="R5" s="247" t="str"/>
      <x:c r="S5" s="248" t="str">
        <x:v>https://www.reuters.com/business/finance/jpmorgans-commercial-investment-bank-names-halamish-coo-lead-ai-strategy-memo-2026-02-12/</x:v>
      </x:c>
    </x:row>
    <x:row r="6" ht="70" customHeight="1">
      <x:c r="A6" s="136" t="str">
        <x:v>S-002</x:v>
      </x:c>
      <x:c r="B6" s="296" t="n">
        <x:v>46163</x:v>
      </x:c>
      <x:c r="C6" s="247" t="str">
        <x:v>Independent reporting</x:v>
      </x:c>
      <x:c r="D6" s="247" t="str">
        <x:v>Reuters</x:v>
      </x:c>
      <x:c r="E6" s="247" t="str">
        <x:v>JPMorgan rolls out AI tools across investment banking globally</x:v>
      </x:c>
      <x:c r="F6" s="247" t="str">
        <x:v>Keep</x:v>
      </x:c>
      <x:c r="G6" s="290" t="n">
        <x:v>5</x:v>
      </x:c>
      <x:c r="H6" s="290" t="n">
        <x:v>5</x:v>
      </x:c>
      <x:c r="I6" s="290" t="n">
        <x:v>5</x:v>
      </x:c>
      <x:c r="J6" s="290" t="n">
        <x:v>5</x:v>
      </x:c>
      <x:c r="K6" s="290" t="n">
        <x:v>5</x:v>
      </x:c>
      <x:c r="L6" s="275" t="n">
        <x:f>ROUND((G6/5*30)+(H6/5*25)+(I6/5*20)+(J6/5*15)+(K6/5*10),0)</x:f>
        <x:v>100</x:v>
      </x:c>
      <x:c r="M6" s="247" t="str">
        <x:v>AI adoption at scale</x:v>
      </x:c>
      <x:c r="N6" s="247" t="str">
        <x:v>D-002</x:v>
      </x:c>
      <x:c r="O6" s="247" t="str">
        <x:v>Reuters reports global implementation of AI tools across investment banking, signaling execution beyond isolated pilots.</x:v>
      </x:c>
      <x:c r="P6" s="247" t="str">
        <x:v>AI platform; application modernization; automation</x:v>
      </x:c>
      <x:c r="Q6" s="247" t="str">
        <x:v>Ask where AI tools are being hosted and operated, how deployment is standardized, and which control, lifecycle, or integration constraints are emerging.</x:v>
      </x:c>
      <x:c r="R6" s="247" t="str"/>
      <x:c r="S6" s="248" t="str">
        <x:v>https://www.reuters.com/world/asia-pacific/jpmorgan-rolls-out-ai-tools-investment-banking-globally-senior-banker-says-2026-05-21/</x:v>
      </x:c>
    </x:row>
    <x:row r="7" ht="70" customHeight="1">
      <x:c r="A7" s="168" t="str">
        <x:v>S-003</x:v>
      </x:c>
      <x:c r="B7" s="297" t="n">
        <x:v>46100</x:v>
      </x:c>
      <x:c r="C7" s="253" t="str">
        <x:v>Owned source</x:v>
      </x:c>
      <x:c r="D7" s="253" t="str">
        <x:v>JPMorganChase Technology</x:v>
      </x:c>
      <x:c r="E7" s="253" t="str">
        <x:v>2026 Emerging Technology Trends</x:v>
      </x:c>
      <x:c r="F7" s="253" t="str">
        <x:v>Watch</x:v>
      </x:c>
      <x:c r="G7" s="291" t="n">
        <x:v>4</x:v>
      </x:c>
      <x:c r="H7" s="291" t="n">
        <x:v>5</x:v>
      </x:c>
      <x:c r="I7" s="291" t="n">
        <x:v>3</x:v>
      </x:c>
      <x:c r="J7" s="291" t="n">
        <x:v>5</x:v>
      </x:c>
      <x:c r="K7" s="291" t="n">
        <x:v>4</x:v>
      </x:c>
      <x:c r="L7" s="276" t="n">
        <x:f>ROUND((G7/5*30)+(H7/5*25)+(I7/5*20)+(J7/5*15)+(K7/5*10),0)</x:f>
        <x:v>84</x:v>
      </x:c>
      <x:c r="M7" s="253" t="str">
        <x:v>Technology direction</x:v>
      </x:c>
      <x:c r="N7" s="253" t="str">
        <x:v>D-003</x:v>
      </x:c>
      <x:c r="O7" s="253" t="str">
        <x:v>JPMorganChase's technology team identifies secure access to relevant data and tools for AI agents, context-driven architecture, and continued AI-inference buildout as major trends.</x:v>
      </x:c>
      <x:c r="P7" s="253" t="str">
        <x:v>AI platform; hybrid cloud; application platform</x:v>
      </x:c>
      <x:c r="Q7" s="253" t="str">
        <x:v>Use as a hypothesis source: validate whether these themes are reflected in current platform, data, and AI priorities for the account team.</x:v>
      </x:c>
      <x:c r="R7" s="253" t="str">
        <x:v>Thought leadership indicates direction, not a disclosed purchase or project.</x:v>
      </x:c>
      <x:c r="S7" s="254" t="str">
        <x:v>https://www.jpmorganchase.com/about/technology/blog/2026-tech-trends</x:v>
      </x:c>
    </x:row>
    <x:row r="8" ht="70" customHeight="1">
      <x:c r="A8" s="168" t="str">
        <x:v>S-004</x:v>
      </x:c>
      <x:c r="B8" s="297" t="n">
        <x:v>46104</x:v>
      </x:c>
      <x:c r="C8" s="253" t="str">
        <x:v>Owned source</x:v>
      </x:c>
      <x:c r="D8" s="253" t="str">
        <x:v>JPMorganChase Technology</x:v>
      </x:c>
      <x:c r="E8" s="253" t="str">
        <x:v>Securing the next generation of AI agents</x:v>
      </x:c>
      <x:c r="F8" s="253" t="str">
        <x:v>Watch</x:v>
      </x:c>
      <x:c r="G8" s="291" t="n">
        <x:v>4</x:v>
      </x:c>
      <x:c r="H8" s="291" t="n">
        <x:v>4</x:v>
      </x:c>
      <x:c r="I8" s="291" t="n">
        <x:v>3</x:v>
      </x:c>
      <x:c r="J8" s="291" t="n">
        <x:v>5</x:v>
      </x:c>
      <x:c r="K8" s="291" t="n">
        <x:v>4</x:v>
      </x:c>
      <x:c r="L8" s="276" t="n">
        <x:f>ROUND((G8/5*30)+(H8/5*25)+(I8/5*20)+(J8/5*15)+(K8/5*10),0)</x:f>
        <x:v>79</x:v>
      </x:c>
      <x:c r="M8" s="253" t="str">
        <x:v>AI security / governance</x:v>
      </x:c>
      <x:c r="N8" s="253" t="str">
        <x:v>D-004</x:v>
      </x:c>
      <x:c r="O8" s="253" t="str">
        <x:v>JPMorganChase describes agentic AI as expanding the attack surface through system interactions, delegated authority, and real-time execution.</x:v>
      </x:c>
      <x:c r="P8" s="253" t="str">
        <x:v>AI governance; automation controls; security</x:v>
      </x:c>
      <x:c r="Q8" s="253" t="str">
        <x:v>Validate policy, identity, auditability, and operational-control expectations for AI agents before proposing any architecture.</x:v>
      </x:c>
      <x:c r="R8" s="253" t="str">
        <x:v>A technology viewpoint, not evidence of a specific buyer initiative.</x:v>
      </x:c>
      <x:c r="S8" s="254" t="str">
        <x:v>https://www.jpmorganchase.com/about/technology/blog/securing-agentic-ai</x:v>
      </x:c>
    </x:row>
    <x:row r="9" ht="70" customHeight="1">
      <x:c r="A9" s="168" t="str">
        <x:v>S-005</x:v>
      </x:c>
      <x:c r="B9" s="297" t="n">
        <x:v>46129</x:v>
      </x:c>
      <x:c r="C9" s="253" t="str">
        <x:v>Owned source</x:v>
      </x:c>
      <x:c r="D9" s="253" t="str">
        <x:v>JPMorganChase Technology</x:v>
      </x:c>
      <x:c r="E9" s="253" t="str">
        <x:v>Fortifying the enterprise: 10 actions to take now for AI-ready cyber resilience</x:v>
      </x:c>
      <x:c r="F9" s="253" t="str">
        <x:v>Watch</x:v>
      </x:c>
      <x:c r="G9" s="291" t="n">
        <x:v>4</x:v>
      </x:c>
      <x:c r="H9" s="291" t="n">
        <x:v>4</x:v>
      </x:c>
      <x:c r="I9" s="291" t="n">
        <x:v>3</x:v>
      </x:c>
      <x:c r="J9" s="291" t="n">
        <x:v>5</x:v>
      </x:c>
      <x:c r="K9" s="291" t="n">
        <x:v>5</x:v>
      </x:c>
      <x:c r="L9" s="276" t="n">
        <x:f>ROUND((G9/5*30)+(H9/5*25)+(I9/5*20)+(J9/5*15)+(K9/5*10),0)</x:f>
        <x:v>81</x:v>
      </x:c>
      <x:c r="M9" s="253" t="str">
        <x:v>Cyber resilience</x:v>
      </x:c>
      <x:c r="N9" s="253" t="str">
        <x:v>D-005</x:v>
      </x:c>
      <x:c r="O9" s="253" t="str">
        <x:v>JPMorganChase Global Technology Leadership published an AI-ready cyber-resilience perspective, reinforcing the importance of security and resilience in AI adoption.</x:v>
      </x:c>
      <x:c r="P9" s="253" t="str">
        <x:v>Automation; security; platform operations</x:v>
      </x:c>
      <x:c r="Q9" s="253" t="str">
        <x:v>Coordinate with security and automation stakeholders; ask which AI-enabled workflows require stronger remediation, guardrails, or auditability.</x:v>
      </x:c>
      <x:c r="R9" s="253" t="str">
        <x:v>Thought leadership; do not infer an active technology project.</x:v>
      </x:c>
      <x:c r="S9" s="254" t="str">
        <x:v>https://www.jpmorganchase.com/about/technology/blog/fortifying-the-enterprise-10-actions-to-take-now-for-ai-ready-cyber-resilience</x:v>
      </x:c>
    </x:row>
    <x:row r="10" ht="70" customHeight="1">
      <x:c r="A10" s="168" t="str">
        <x:v>S-006</x:v>
      </x:c>
      <x:c r="B10" s="297" t="n">
        <x:v>46029</x:v>
      </x:c>
      <x:c r="C10" s="253" t="str">
        <x:v>Owned source</x:v>
      </x:c>
      <x:c r="D10" s="253" t="str">
        <x:v>JPMorganChase Newsroom</x:v>
      </x:c>
      <x:c r="E10" s="253" t="str">
        <x:v>Chase to become the new issuer of Apple Card</x:v>
      </x:c>
      <x:c r="F10" s="253" t="str">
        <x:v>Watch</x:v>
      </x:c>
      <x:c r="G10" s="291" t="n">
        <x:v>4</x:v>
      </x:c>
      <x:c r="H10" s="291" t="n">
        <x:v>1</x:v>
      </x:c>
      <x:c r="I10" s="291" t="n">
        <x:v>2</x:v>
      </x:c>
      <x:c r="J10" s="291" t="n">
        <x:v>5</x:v>
      </x:c>
      <x:c r="K10" s="291" t="n">
        <x:v>4</x:v>
      </x:c>
      <x:c r="L10" s="276" t="n">
        <x:f>ROUND((G10/5*30)+(H10/5*25)+(I10/5*20)+(J10/5*15)+(K10/5*10),0)</x:f>
        <x:v>60</x:v>
      </x:c>
      <x:c r="M10" s="253" t="str">
        <x:v>Consumer-platform transition</x:v>
      </x:c>
      <x:c r="N10" s="253" t="str">
        <x:v>D-006</x:v>
      </x:c>
      <x:c r="O10" s="253" t="str">
        <x:v>Apple and Chase announced that Chase will become Apple Card issuer, with the transition expected in approximately 24 months.</x:v>
      </x:c>
      <x:c r="P10" s="253" t="str">
        <x:v>Potentially relevant only after account-team validation</x:v>
      </x:c>
      <x:c r="Q10" s="253" t="str">
        <x:v>Confirm whether there is a named enterprise-platform, integration, operations, or resilience workstream before connecting this to a Red Hat motion.</x:v>
      </x:c>
      <x:c r="R10" s="253" t="str">
        <x:v>Material corporate transition, but no direct Red Hat relevance is established from the source.</x:v>
      </x:c>
      <x:c r="S10" s="254" t="str">
        <x:v>https://www.jpmorganchase.com/newsroom/press-releases/2026/chase-to-become-new-issuer-of-apple-card</x:v>
      </x:c>
    </x:row>
    <x:row r="11" ht="70" customHeight="1">
      <x:c r="A11" s="258" t="str">
        <x:v>S-007</x:v>
      </x:c>
      <x:c r="B11" s="298" t="n">
        <x:v>46196</x:v>
      </x:c>
      <x:c r="C11" s="260" t="str">
        <x:v>Owned source</x:v>
      </x:c>
      <x:c r="D11" s="260" t="str">
        <x:v>JPMorganChase Technology</x:v>
      </x:c>
      <x:c r="E11" s="260" t="str">
        <x:v>Artificial Intelligence Research</x:v>
      </x:c>
      <x:c r="F11" s="260" t="str">
        <x:v>Reject</x:v>
      </x:c>
      <x:c r="G11" s="292" t="n">
        <x:v>3</x:v>
      </x:c>
      <x:c r="H11" s="292" t="n">
        <x:v>4</x:v>
      </x:c>
      <x:c r="I11" s="292" t="n">
        <x:v>2</x:v>
      </x:c>
      <x:c r="J11" s="292" t="n">
        <x:v>5</x:v>
      </x:c>
      <x:c r="K11" s="292" t="n">
        <x:v>1</x:v>
      </x:c>
      <x:c r="L11" s="277" t="n">
        <x:f>ROUND((G11/5*30)+(H11/5*25)+(I11/5*20)+(J11/5*15)+(K11/5*10),0)</x:f>
        <x:v>63</x:v>
      </x:c>
      <x:c r="M11" s="260" t="str">
        <x:v>Evergreen capability page</x:v>
      </x:c>
      <x:c r="N11" s="260" t="str">
        <x:v>D-007</x:v>
      </x:c>
      <x:c r="O11" s="260" t="str">
        <x:v>The page describes ongoing AI research focus areas including AI agents, planning, optimization, and finance-domain foundation models.</x:v>
      </x:c>
      <x:c r="P11" s="260" t="str">
        <x:v>Baseline only</x:v>
      </x:c>
      <x:c r="Q11" s="260" t="str">
        <x:v>Use as background research; do not alert a seller because this is not a dated account change.</x:v>
      </x:c>
      <x:c r="R11" s="260" t="str">
        <x:v>Evergreen / not a new event.</x:v>
      </x:c>
      <x:c r="S11" s="261" t="str">
        <x:v>https://www.jpmorganchase.com/about/technology/research/ai</x:v>
      </x:c>
    </x:row>
    <x:row r="12" ht="70" customHeight="1">
      <x:c r="A12" s="258" t="str">
        <x:v>S-008</x:v>
      </x:c>
      <x:c r="B12" s="298" t="n">
        <x:v>46196</x:v>
      </x:c>
      <x:c r="C12" s="260" t="str">
        <x:v>Owned source</x:v>
      </x:c>
      <x:c r="D12" s="260" t="str">
        <x:v>J.P. Morgan Asset Management</x:v>
      </x:c>
      <x:c r="E12" s="260" t="str">
        <x:v>What does AI disruption mean for investors?</x:v>
      </x:c>
      <x:c r="F12" s="260" t="str">
        <x:v>Reject</x:v>
      </x:c>
      <x:c r="G12" s="292" t="n">
        <x:v>1</x:v>
      </x:c>
      <x:c r="H12" s="292" t="n">
        <x:v>1</x:v>
      </x:c>
      <x:c r="I12" s="292" t="n">
        <x:v>1</x:v>
      </x:c>
      <x:c r="J12" s="292" t="n">
        <x:v>4</x:v>
      </x:c>
      <x:c r="K12" s="292" t="n">
        <x:v>1</x:v>
      </x:c>
      <x:c r="L12" s="277" t="n">
        <x:f>ROUND((G12/5*30)+(H12/5*25)+(I12/5*20)+(J12/5*15)+(K12/5*10),0)</x:f>
        <x:v>29</x:v>
      </x:c>
      <x:c r="M12" s="260" t="str">
        <x:v>Market commentary</x:v>
      </x:c>
      <x:c r="N12" s="260" t="str">
        <x:v>D-008</x:v>
      </x:c>
      <x:c r="O12" s="260" t="str">
        <x:v>Investor commentary discusses broad AI infrastructure and market implications.</x:v>
      </x:c>
      <x:c r="P12" s="260" t="str">
        <x:v>None</x:v>
      </x:c>
      <x:c r="Q12" s="260" t="str">
        <x:v>No seller action.</x:v>
      </x:c>
      <x:c r="R12" s="260" t="str">
        <x:v>Market commentary; not a JPMorgan operating-model, investment, or customer-account change.</x:v>
      </x:c>
      <x:c r="S12" s="261" t="str">
        <x:v>https://am.jpmorgan.com/us/en/asset-management/liq/insights/market-insights/market-updates/on-the-minds-of-investors/what-does-ai-disruption-mean-for-investors/</x:v>
      </x:c>
    </x:row>
    <x:row r="13" ht="70" customHeight="1">
      <x:c r="A13" s="258" t="str">
        <x:v>S-009</x:v>
      </x:c>
      <x:c r="B13" s="298" t="n">
        <x:v>46112</x:v>
      </x:c>
      <x:c r="C13" s="260" t="str">
        <x:v>Owned source</x:v>
      </x:c>
      <x:c r="D13" s="260" t="str">
        <x:v>JPMorganChase Newsroom</x:v>
      </x:c>
      <x:c r="E13" s="260" t="str">
        <x:v>JPMorganChase launches American Dream Initiative</x:v>
      </x:c>
      <x:c r="F13" s="260" t="str">
        <x:v>Reject</x:v>
      </x:c>
      <x:c r="G13" s="292" t="n">
        <x:v>2</x:v>
      </x:c>
      <x:c r="H13" s="292" t="n">
        <x:v>1</x:v>
      </x:c>
      <x:c r="I13" s="292" t="n">
        <x:v>1</x:v>
      </x:c>
      <x:c r="J13" s="292" t="n">
        <x:v>5</x:v>
      </x:c>
      <x:c r="K13" s="292" t="n">
        <x:v>4</x:v>
      </x:c>
      <x:c r="L13" s="277" t="n">
        <x:f>ROUND((G13/5*30)+(H13/5*25)+(I13/5*20)+(J13/5*15)+(K13/5*10),0)</x:f>
        <x:v>44</x:v>
      </x:c>
      <x:c r="M13" s="260" t="str">
        <x:v>Community initiative</x:v>
      </x:c>
      <x:c r="N13" s="260" t="str">
        <x:v>D-009</x:v>
      </x:c>
      <x:c r="O13" s="260" t="str">
        <x:v>JPMorganChase announced a firmwide initiative focused on small-business growth, housing, financial health, jobs, healthcare, and local institutions.</x:v>
      </x:c>
      <x:c r="P13" s="260" t="str">
        <x:v>None</x:v>
      </x:c>
      <x:c r="Q13" s="260" t="str">
        <x:v>No seller action.</x:v>
      </x:c>
      <x:c r="R13" s="260" t="str">
        <x:v>Important corporate-impact announcement but outside the defined enterprise technology / operating-model scope.</x:v>
      </x:c>
      <x:c r="S13" s="261" t="str">
        <x:v>https://www.jpmorganchase.com/newsroom/press-releases/2026/american-dream-initiative-announcement</x:v>
      </x:c>
    </x:row>
    <x:row r="14" ht="70" customHeight="1">
      <x:c r="A14" s="258" t="str">
        <x:v>S-010</x:v>
      </x:c>
      <x:c r="B14" s="298" t="n">
        <x:v>46196</x:v>
      </x:c>
      <x:c r="C14" s="260" t="str">
        <x:v>Owned source</x:v>
      </x:c>
      <x:c r="D14" s="260" t="str">
        <x:v>JPMorganChase Newsroom</x:v>
      </x:c>
      <x:c r="E14" s="260" t="str">
        <x:v>Fraud and scams prevention philanthropic investments</x:v>
      </x:c>
      <x:c r="F14" s="260" t="str">
        <x:v>Reject</x:v>
      </x:c>
      <x:c r="G14" s="292" t="n">
        <x:v>1</x:v>
      </x:c>
      <x:c r="H14" s="292" t="n">
        <x:v>1</x:v>
      </x:c>
      <x:c r="I14" s="292" t="n">
        <x:v>1</x:v>
      </x:c>
      <x:c r="J14" s="292" t="n">
        <x:v>5</x:v>
      </x:c>
      <x:c r="K14" s="292" t="n">
        <x:v>2</x:v>
      </x:c>
      <x:c r="L14" s="277" t="n">
        <x:f>ROUND((G14/5*30)+(H14/5*25)+(I14/5*20)+(J14/5*15)+(K14/5*10),0)</x:f>
        <x:v>34</x:v>
      </x:c>
      <x:c r="M14" s="260" t="str">
        <x:v>Philanthropy / community</x:v>
      </x:c>
      <x:c r="N14" s="260" t="str">
        <x:v>D-010</x:v>
      </x:c>
      <x:c r="O14" s="260" t="str">
        <x:v>JPMorganChase announced philanthropic investments and a consumer survey related to fraud and scam prevention.</x:v>
      </x:c>
      <x:c r="P14" s="260" t="str">
        <x:v>None</x:v>
      </x:c>
      <x:c r="Q14" s="260" t="str">
        <x:v>No seller action.</x:v>
      </x:c>
      <x:c r="R14" s="260" t="str">
        <x:v>Philanthropic investment and public-policy research; not an account technology or operating-model trigger.</x:v>
      </x:c>
      <x:c r="S14" s="261" t="str">
        <x:v>https://www.jpmorganchase.com/newsroom/press-releases/2026/14m-in-fraud-and-scams-prevention</x:v>
      </x:c>
    </x:row>
    <x:row r="15" ht="70" customHeight="1">
      <x:c r="A15" s="258" t="str">
        <x:v>S-011</x:v>
      </x:c>
      <x:c r="B15" s="298" t="n">
        <x:v>46126</x:v>
      </x:c>
      <x:c r="C15" s="260" t="str">
        <x:v>Owned source</x:v>
      </x:c>
      <x:c r="D15" s="260" t="str">
        <x:v>JPMorganChase Investor Relations</x:v>
      </x:c>
      <x:c r="E15" s="260" t="str">
        <x:v>First-quarter 2026 earnings materials</x:v>
      </x:c>
      <x:c r="F15" s="260" t="str">
        <x:v>Reject</x:v>
      </x:c>
      <x:c r="G15" s="292" t="n">
        <x:v>3</x:v>
      </x:c>
      <x:c r="H15" s="292" t="n">
        <x:v>1</x:v>
      </x:c>
      <x:c r="I15" s="292" t="n">
        <x:v>1</x:v>
      </x:c>
      <x:c r="J15" s="292" t="n">
        <x:v>5</x:v>
      </x:c>
      <x:c r="K15" s="292" t="n">
        <x:v>5</x:v>
      </x:c>
      <x:c r="L15" s="277" t="n">
        <x:f>ROUND((G15/5*30)+(H15/5*25)+(I15/5*20)+(J15/5*15)+(K15/5*10),0)</x:f>
        <x:v>52</x:v>
      </x:c>
      <x:c r="M15" s="260" t="str">
        <x:v>Financial results</x:v>
      </x:c>
      <x:c r="N15" s="260" t="str">
        <x:v>D-011</x:v>
      </x:c>
      <x:c r="O15" s="260" t="str">
        <x:v>Quarterly earnings materials are a high-quality source for financial context, but no specific technology or operating-model trigger is identified in this POC.</x:v>
      </x:c>
      <x:c r="P15" s="260" t="str">
        <x:v>None</x:v>
      </x:c>
      <x:c r="Q15" s="260" t="str">
        <x:v>Use only for account planning context if the account team requests it.</x:v>
      </x:c>
      <x:c r="R15" s="260" t="str">
        <x:v>Financial-performance context alone is not enough to interrupt a seller.</x:v>
      </x:c>
      <x:c r="S15" s="261" t="str">
        <x:v>https://www.jpmorganchase.com/ir/quarterly-earnings</x:v>
      </x:c>
    </x:row>
    <x:row r="16" ht="70" customHeight="1">
      <x:c r="A16" s="258" t="str">
        <x:v>S-012</x:v>
      </x:c>
      <x:c r="B16" s="298" t="n">
        <x:v>45811</x:v>
      </x:c>
      <x:c r="C16" s="260" t="str">
        <x:v>Owned source</x:v>
      </x:c>
      <x:c r="D16" s="260" t="str">
        <x:v>JPMorganChase Technology</x:v>
      </x:c>
      <x:c r="E16" s="260" t="str">
        <x:v>LLM Suite named 2025 Innovation of the Year</x:v>
      </x:c>
      <x:c r="F16" s="260" t="str">
        <x:v>Reject</x:v>
      </x:c>
      <x:c r="G16" s="292" t="n">
        <x:v>1</x:v>
      </x:c>
      <x:c r="H16" s="292" t="n">
        <x:v>3</x:v>
      </x:c>
      <x:c r="I16" s="292" t="n">
        <x:v>1</x:v>
      </x:c>
      <x:c r="J16" s="292" t="n">
        <x:v>5</x:v>
      </x:c>
      <x:c r="K16" s="292" t="n">
        <x:v>0</x:v>
      </x:c>
      <x:c r="L16" s="277" t="n">
        <x:f>ROUND((G16/5*30)+(H16/5*25)+(I16/5*20)+(J16/5*15)+(K16/5*10),0)</x:f>
        <x:v>40</x:v>
      </x:c>
      <x:c r="M16" s="260" t="str">
        <x:v>Historic capability / award</x:v>
      </x:c>
      <x:c r="N16" s="260" t="str">
        <x:v>D-012</x:v>
      </x:c>
      <x:c r="O16" s="260" t="str">
        <x:v>JPMorganChase's proprietary LLM Suite received an innovation award in 2025.</x:v>
      </x:c>
      <x:c r="P16" s="260" t="str">
        <x:v>Historical context</x:v>
      </x:c>
      <x:c r="Q16" s="260" t="str">
        <x:v>Use as historical background only.</x:v>
      </x:c>
      <x:c r="R16" s="260" t="str">
        <x:v>Outside the January-June 2026 coverage window; not a current trigger.</x:v>
      </x:c>
      <x:c r="S16" s="261" t="str">
        <x:v>https://www.jpmorganchase.com/about/technology/blog/llmsuite-ab-award</x:v>
      </x:c>
    </x:row>
    <x:row r="17" ht="70" customHeight="1">
      <x:c r="A17" s="258" t="str">
        <x:v>S-013</x:v>
      </x:c>
      <x:c r="B17" s="298" t="n">
        <x:v>46069</x:v>
      </x:c>
      <x:c r="C17" s="260" t="str">
        <x:v>Syndicated / secondary</x:v>
      </x:c>
      <x:c r="D17" s="260" t="str">
        <x:v>Yahoo Finance</x:v>
      </x:c>
      <x:c r="E17" s="260" t="str">
        <x:v>JPMorgan deepens AI push with reshuffle</x:v>
      </x:c>
      <x:c r="F17" s="260" t="str">
        <x:v>Reject</x:v>
      </x:c>
      <x:c r="G17" s="292" t="n">
        <x:v>5</x:v>
      </x:c>
      <x:c r="H17" s="292" t="n">
        <x:v>5</x:v>
      </x:c>
      <x:c r="I17" s="292" t="n">
        <x:v>4</x:v>
      </x:c>
      <x:c r="J17" s="292" t="n">
        <x:v>2</x:v>
      </x:c>
      <x:c r="K17" s="292" t="n">
        <x:v>4</x:v>
      </x:c>
      <x:c r="L17" s="277" t="n">
        <x:f>ROUND((G17/5*30)+(H17/5*25)+(I17/5*20)+(J17/5*15)+(K17/5*10),0)</x:f>
        <x:v>85</x:v>
      </x:c>
      <x:c r="M17" s="260" t="str">
        <x:v>Duplicate / commentary</x:v>
      </x:c>
      <x:c r="N17" s="260" t="str">
        <x:v>D-001</x:v>
      </x:c>
      <x:c r="O17" s="260" t="str">
        <x:v>Secondary coverage restates the February 2026 CIB data-and-AI operating-model change.</x:v>
      </x:c>
      <x:c r="P17" s="260" t="str">
        <x:v>Duplicate of S-001</x:v>
      </x:c>
      <x:c r="Q17" s="260" t="str">
        <x:v>No seller action; retain Reuters/primary evidence only.</x:v>
      </x:c>
      <x:c r="R17" s="260" t="str">
        <x:v>Duplicate / lower-quality restatement of S-001.</x:v>
      </x:c>
      <x:c r="S17" s="261" t="str">
        <x:v>https://finance.yahoo.com/news/jpmorgan-deepens-ai-push-reshuffle-112137011.html</x:v>
      </x:c>
    </x:row>
  </x:sheetData>
  <x:mergeCells>
    <x:mergeCell ref="A1:R1"/>
    <x:mergeCell ref="A2:R2"/>
  </x:mergeCells>
  <x:conditionalFormatting sqref="L5:L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5:F17">
    <x:cfRule type="expression" dxfId="0" priority="2">
      <x:formula>F5="Keep"</x:formula>
    </x:cfRule>
    <x:cfRule type="expression" dxfId="1" priority="3">
      <x:formula>F5="Watch"</x:formula>
    </x:cfRule>
    <x:cfRule type="expression" dxfId="2" priority="4">
      <x:formula>F5="Reject"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9f79d2438b40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6" hidden="0" customWidth="1"/>
    <x:col min="4" max="4" width="20" hidden="0" customWidth="1"/>
    <x:col min="5" max="5" width="45" hidden="0" customWidth="1"/>
    <x:col min="6" max="6" width="26" hidden="0" customWidth="1"/>
    <x:col min="7" max="7" width="52" hidden="0" customWidth="1"/>
    <x:col min="8" max="8" width="24" hidden="0" customWidth="1"/>
  </x:cols>
  <x:sheetData>
    <x:row r="1" ht="28" customHeight="1">
      <x:c r="A1" s="5" t="str">
        <x:v>Filtered Out | Demonstrating the value of relevance and noise removal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211" t="str">
        <x:v>These are real, externally sourced items that should not interrupt a Red Hat seller under the POC rules. The rationale is retained to make filtering transparent and reviewable.</x:v>
      </x:c>
      <x:c r="B2" s="211"/>
      <x:c r="C2" s="211"/>
      <x:c r="D2" s="211"/>
      <x:c r="E2" s="211"/>
      <x:c r="F2" s="211"/>
      <x:c r="G2" s="211"/>
      <x:c r="H2" s="211"/>
    </x:row>
    <x:row r="4" ht="32" customHeight="1">
      <x:c r="A4" s="111" t="str">
        <x:v>Signal ID</x:v>
      </x:c>
      <x:c r="B4" s="111" t="str">
        <x:v>Publication date</x:v>
      </x:c>
      <x:c r="C4" s="111" t="str">
        <x:v>Headline</x:v>
      </x:c>
      <x:c r="D4" s="111" t="str">
        <x:v>Source</x:v>
      </x:c>
      <x:c r="E4" s="111" t="str">
        <x:v>Why it was rejected</x:v>
      </x:c>
      <x:c r="F4" s="111" t="str">
        <x:v>Would it be retained anywhere?</x:v>
      </x:c>
      <x:c r="G4" s="111" t="str">
        <x:v>Source URL</x:v>
      </x:c>
      <x:c r="H4" s="111" t="str">
        <x:v>Review note</x:v>
      </x:c>
    </x:row>
    <x:row r="5" ht="55" customHeight="1">
      <x:c r="A5" s="258" t="str">
        <x:v>S-007</x:v>
      </x:c>
      <x:c r="B5" s="259" t="n">
        <x:v>46196</x:v>
      </x:c>
      <x:c r="C5" s="260" t="str">
        <x:v>Artificial Intelligence Research</x:v>
      </x:c>
      <x:c r="D5" s="260" t="str">
        <x:v>JPMorganChase Technology</x:v>
      </x:c>
      <x:c r="E5" s="260" t="str">
        <x:v>Evergreen / not a new event.</x:v>
      </x:c>
      <x:c r="F5" s="260" t="str">
        <x:v>Background / account-plan research only</x:v>
      </x:c>
      <x:c r="G5" s="260" t="str">
        <x:v>https://www.jpmorganchase.com/about/technology/research/ai</x:v>
      </x:c>
      <x:c r="H5" s="261" t="str">
        <x:v>Keep source in audit trail; no seller alert.</x:v>
      </x:c>
    </x:row>
    <x:row r="6" ht="55" customHeight="1">
      <x:c r="A6" s="258" t="str">
        <x:v>S-008</x:v>
      </x:c>
      <x:c r="B6" s="259" t="n">
        <x:v>46196</x:v>
      </x:c>
      <x:c r="C6" s="260" t="str">
        <x:v>What does AI disruption mean for investors?</x:v>
      </x:c>
      <x:c r="D6" s="260" t="str">
        <x:v>J.P. Morgan Asset Management</x:v>
      </x:c>
      <x:c r="E6" s="260" t="str">
        <x:v>Market commentary; not a JPMorgan operating-model, investment, or customer-account change.</x:v>
      </x:c>
      <x:c r="F6" s="260" t="str">
        <x:v>No</x:v>
      </x:c>
      <x:c r="G6" s="260" t="str">
        <x:v>https://am.jpmorgan.com/us/en/asset-management/liq/insights/market-insights/market-updates/on-the-minds-of-investors/what-does-ai-disruption-mean-for-investors/</x:v>
      </x:c>
      <x:c r="H6" s="261" t="str">
        <x:v>Keep source in audit trail; no seller alert.</x:v>
      </x:c>
    </x:row>
    <x:row r="7" ht="55" customHeight="1">
      <x:c r="A7" s="258" t="str">
        <x:v>S-009</x:v>
      </x:c>
      <x:c r="B7" s="259" t="n">
        <x:v>46112</x:v>
      </x:c>
      <x:c r="C7" s="260" t="str">
        <x:v>JPMorganChase launches American Dream Initiative</x:v>
      </x:c>
      <x:c r="D7" s="260" t="str">
        <x:v>JPMorganChase Newsroom</x:v>
      </x:c>
      <x:c r="E7" s="260" t="str">
        <x:v>Important corporate-impact announcement but outside the defined enterprise technology / operating-model scope.</x:v>
      </x:c>
      <x:c r="F7" s="260" t="str">
        <x:v>No</x:v>
      </x:c>
      <x:c r="G7" s="260" t="str">
        <x:v>https://www.jpmorganchase.com/newsroom/press-releases/2026/american-dream-initiative-announcement</x:v>
      </x:c>
      <x:c r="H7" s="261" t="str">
        <x:v>Keep source in audit trail; no seller alert.</x:v>
      </x:c>
    </x:row>
    <x:row r="8" ht="55" customHeight="1">
      <x:c r="A8" s="258" t="str">
        <x:v>S-010</x:v>
      </x:c>
      <x:c r="B8" s="259" t="n">
        <x:v>46196</x:v>
      </x:c>
      <x:c r="C8" s="260" t="str">
        <x:v>Fraud and scams prevention philanthropic investments</x:v>
      </x:c>
      <x:c r="D8" s="260" t="str">
        <x:v>JPMorganChase Newsroom</x:v>
      </x:c>
      <x:c r="E8" s="260" t="str">
        <x:v>Philanthropic investment and public-policy research; not an account technology or operating-model trigger.</x:v>
      </x:c>
      <x:c r="F8" s="260" t="str">
        <x:v>No</x:v>
      </x:c>
      <x:c r="G8" s="260" t="str">
        <x:v>https://www.jpmorganchase.com/newsroom/press-releases/2026/14m-in-fraud-and-scams-prevention</x:v>
      </x:c>
      <x:c r="H8" s="261" t="str">
        <x:v>Keep source in audit trail; no seller alert.</x:v>
      </x:c>
    </x:row>
    <x:row r="9" ht="55" customHeight="1">
      <x:c r="A9" s="258" t="str">
        <x:v>S-011</x:v>
      </x:c>
      <x:c r="B9" s="259" t="n">
        <x:v>46126</x:v>
      </x:c>
      <x:c r="C9" s="260" t="str">
        <x:v>First-quarter 2026 earnings materials</x:v>
      </x:c>
      <x:c r="D9" s="260" t="str">
        <x:v>JPMorganChase Investor Relations</x:v>
      </x:c>
      <x:c r="E9" s="260" t="str">
        <x:v>Financial-performance context alone is not enough to interrupt a seller.</x:v>
      </x:c>
      <x:c r="F9" s="260" t="str">
        <x:v>Background / account-plan research only</x:v>
      </x:c>
      <x:c r="G9" s="260" t="str">
        <x:v>https://www.jpmorganchase.com/ir/quarterly-earnings</x:v>
      </x:c>
      <x:c r="H9" s="261" t="str">
        <x:v>Keep source in audit trail; no seller alert.</x:v>
      </x:c>
    </x:row>
    <x:row r="10" ht="55" customHeight="1">
      <x:c r="A10" s="258" t="str">
        <x:v>S-012</x:v>
      </x:c>
      <x:c r="B10" s="259" t="n">
        <x:v>45811</x:v>
      </x:c>
      <x:c r="C10" s="260" t="str">
        <x:v>LLM Suite named 2025 Innovation of the Year</x:v>
      </x:c>
      <x:c r="D10" s="260" t="str">
        <x:v>JPMorganChase Technology</x:v>
      </x:c>
      <x:c r="E10" s="260" t="str">
        <x:v>Outside the January-June 2026 coverage window; not a current trigger.</x:v>
      </x:c>
      <x:c r="F10" s="260" t="str">
        <x:v>Background / account-plan research only</x:v>
      </x:c>
      <x:c r="G10" s="260" t="str">
        <x:v>https://www.jpmorganchase.com/about/technology/blog/llmsuite-ab-award</x:v>
      </x:c>
      <x:c r="H10" s="261" t="str">
        <x:v>Keep source in audit trail; no seller alert.</x:v>
      </x:c>
    </x:row>
    <x:row r="11" ht="55" customHeight="1">
      <x:c r="A11" s="258" t="str">
        <x:v>S-013</x:v>
      </x:c>
      <x:c r="B11" s="259" t="n">
        <x:v>46069</x:v>
      </x:c>
      <x:c r="C11" s="260" t="str">
        <x:v>JPMorgan deepens AI push with reshuffle</x:v>
      </x:c>
      <x:c r="D11" s="260" t="str">
        <x:v>Yahoo Finance</x:v>
      </x:c>
      <x:c r="E11" s="260" t="str">
        <x:v>Duplicate / lower-quality restatement of S-001.</x:v>
      </x:c>
      <x:c r="F11" s="260" t="str">
        <x:v>No</x:v>
      </x:c>
      <x:c r="G11" s="260" t="str">
        <x:v>https://finance.yahoo.com/news/jpmorgan-deepens-ai-push-reshuffle-112137011.html</x:v>
      </x:c>
      <x:c r="H11" s="261" t="str">
        <x:v>Keep source in audit trail; no seller alert.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6c9800ccf9748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7" hidden="0" customWidth="1"/>
    <x:col min="3" max="3" width="35" hidden="0" customWidth="1"/>
    <x:col min="4" max="4" width="45" hidden="0" customWidth="1"/>
    <x:col min="5" max="5" width="38" hidden="0" customWidth="1"/>
    <x:col min="6" max="6" width="55" hidden="0" customWidth="1"/>
  </x:cols>
  <x:sheetData>
    <x:row r="1" ht="28" customHeight="1">
      <x:c r="A1" s="5" t="str">
        <x:v>Red Hat Motion Catalog | Controlled interpretation layer for the POC</x:v>
      </x:c>
      <x:c r="B1" s="5"/>
      <x:c r="C1" s="5"/>
      <x:c r="D1" s="5"/>
      <x:c r="E1" s="5"/>
      <x:c r="F1" s="5"/>
    </x:row>
    <x:row r="2" ht="28" customHeight="1">
      <x:c r="A2" s="211" t="str">
        <x:v>This catalog turns public account developments into bounded seller hypotheses. It is not a claim that JPMorgan needs or uses any listed Red Hat product.</x:v>
      </x:c>
      <x:c r="B2" s="211"/>
      <x:c r="C2" s="211"/>
      <x:c r="D2" s="211"/>
      <x:c r="E2" s="211"/>
      <x:c r="F2" s="211"/>
    </x:row>
    <x:row r="4" ht="36" customHeight="1">
      <x:c r="A4" s="111" t="str">
        <x:v>Red Hat motion</x:v>
      </x:c>
      <x:c r="B4" s="111" t="str">
        <x:v>Customer trigger to detect</x:v>
      </x:c>
      <x:c r="C4" s="111" t="str">
        <x:v>Evidence threshold</x:v>
      </x:c>
      <x:c r="D4" s="111" t="str">
        <x:v>Seller discovery question</x:v>
      </x:c>
      <x:c r="E4" s="111" t="str">
        <x:v>Relevant official Red Hat reference</x:v>
      </x:c>
      <x:c r="F4" s="111" t="str">
        <x:v>Reference URL</x:v>
      </x:c>
    </x:row>
    <x:row r="5" ht="80" customHeight="1">
      <x:c r="A5" s="123" t="str">
        <x:v>AI platform and lifecycle operations</x:v>
      </x:c>
      <x:c r="B5" s="124" t="str">
        <x:v>AI tools moving into production; agentic workflows; inference demand; model/app operating model</x:v>
      </x:c>
      <x:c r="C5" s="124" t="str">
        <x:v>Must have an account-specific change plus a source that supports the fact.</x:v>
      </x:c>
      <x:c r="D5" s="124" t="str">
        <x:v>How are AI workloads, models, and agents deployed, governed, updated, and operated across environments?</x:v>
      </x:c>
      <x:c r="E5" s="124" t="str">
        <x:v>Red Hat OpenShift supports the AI lifecycle across hybrid cloud environments.</x:v>
      </x:c>
      <x:c r="F5" s="125" t="str">
        <x:v>https://www.redhat.com/en/technologies/cloud-computing/openshift</x:v>
      </x:c>
    </x:row>
    <x:row r="6" ht="80" customHeight="1">
      <x:c r="A6" s="154" t="str">
        <x:v>Application modernization and platform engineering</x:v>
      </x:c>
      <x:c r="B6" s="155" t="str">
        <x:v>Legacy modernization; AI-supported testing; developer workflow change; digital-product acceleration</x:v>
      </x:c>
      <x:c r="C6" s="155" t="str">
        <x:v>Do not assume target architecture; validate workload and delivery constraints.</x:v>
      </x:c>
      <x:c r="D6" s="155" t="str">
        <x:v>Which applications or delivery workflows are under pressure to modernize, and which constraints make change difficult?</x:v>
      </x:c>
      <x:c r="E6" s="155" t="str">
        <x:v>Red Hat OpenShift supports app modernization and deployment at scale.</x:v>
      </x:c>
      <x:c r="F6" s="156" t="str">
        <x:v>https://www.redhat.com/en/technologies/cloud-computing/openshift/application-modernization</x:v>
      </x:c>
    </x:row>
    <x:row r="7" ht="80" customHeight="1">
      <x:c r="A7" s="123" t="str">
        <x:v>Automation and event-driven operations</x:v>
      </x:c>
      <x:c r="B7" s="124" t="str">
        <x:v>Operational transformation; remediation; workflow standardization; resiliency goals</x:v>
      </x:c>
      <x:c r="C7" s="124" t="str">
        <x:v>Need a stated operational process, risk, or transformation objective.</x:v>
      </x:c>
      <x:c r="D7" s="124" t="str">
        <x:v>Which workflows require more consistent orchestration, remediation, auditability, or cross-domain automation?</x:v>
      </x:c>
      <x:c r="E7" s="124" t="str">
        <x:v>Ansible Automation Platform automates and orchestrates workflows across domains.</x:v>
      </x:c>
      <x:c r="F7" s="125" t="str">
        <x:v>https://www.redhat.com/en/technologies/management/ansible/orchestration</x:v>
      </x:c>
    </x:row>
    <x:row r="8" ht="80" customHeight="1">
      <x:c r="A8" s="154" t="str">
        <x:v>Security, governance, and controlled AI actions</x:v>
      </x:c>
      <x:c r="B8" s="155" t="str">
        <x:v>Agentic AI risk; data access controls; audit requirements; cyber-resilience emphasis</x:v>
      </x:c>
      <x:c r="C8" s="155" t="str">
        <x:v>Need evidence of accountable action or security requirement, not generic AI coverage.</x:v>
      </x:c>
      <x:c r="D8" s="155" t="str">
        <x:v>Which controls govern authority, data/tool access, approvals, auditability, and remediation for AI-enabled workflows?</x:v>
      </x:c>
      <x:c r="E8" s="155" t="str">
        <x:v>Ansible Automation Platform supports governance-oriented, event-driven automation; OpenShift provides consistent application platform controls.</x:v>
      </x:c>
      <x:c r="F8" s="156" t="str">
        <x:v>https://www.redhat.com/en/technologies/management/ansible/ai-automation</x:v>
      </x:c>
    </x:row>
    <x:row r="9" ht="80" customHeight="1">
      <x:c r="A9" s="123" t="str">
        <x:v>Hybrid operations and infrastructure consistency</x:v>
      </x:c>
      <x:c r="B9" s="124" t="str">
        <x:v>Multi-environment deployment; platform standardization; workload portability; controlled lifecycle operations</x:v>
      </x:c>
      <x:c r="C9" s="124" t="str">
        <x:v>Need account evidence of multiple environments or control/consistency objective.</x:v>
      </x:c>
      <x:c r="D9" s="124" t="str">
        <x:v>Where must workloads run, and how is operational consistency maintained across those environments?</x:v>
      </x:c>
      <x:c r="E9" s="124" t="str">
        <x:v>Red Hat OpenShift provides a consistent app platform across supported infrastructure and clouds.</x:v>
      </x:c>
      <x:c r="F9" s="125" t="str">
        <x:v>https://www.redhat.com/en/technologies/cloud-computing/openshift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ad481fb597246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9" hidden="0" customWidth="1"/>
    <x:col min="4" max="4" width="28" hidden="0" customWidth="1"/>
    <x:col min="5" max="5" width="43" hidden="0" customWidth="1"/>
    <x:col min="6" max="6" width="43" hidden="0" customWidth="1"/>
    <x:col min="7" max="7" width="18" hidden="0" customWidth="1"/>
  </x:cols>
  <x:sheetData>
    <x:row r="1" ht="28" customHeight="1">
      <x:c r="A1" s="5" t="str">
        <x:v>Scoring &amp; Controls | How the POC distinguishes relevance from noise</x:v>
      </x:c>
      <x:c r="B1" s="5"/>
      <x:c r="C1" s="5"/>
      <x:c r="D1" s="5"/>
      <x:c r="E1" s="5"/>
      <x:c r="F1" s="5"/>
      <x:c r="G1" s="5"/>
    </x:row>
    <x:row r="2" ht="28" customHeight="1">
      <x:c r="A2" s="211" t="str">
        <x:v>Scores are a transparent prioritization aid. They do not represent confidence, buyer intent, account health, propensity to buy, or a technical recommendation.</x:v>
      </x:c>
      <x:c r="B2" s="211"/>
      <x:c r="C2" s="211"/>
      <x:c r="D2" s="211"/>
      <x:c r="E2" s="211"/>
      <x:c r="F2" s="211"/>
      <x:c r="G2" s="211"/>
    </x:row>
    <x:row r="4" ht="34" customHeight="1">
      <x:c r="A4" s="111" t="str">
        <x:v>Factor</x:v>
      </x:c>
      <x:c r="B4" s="111" t="str">
        <x:v>Weight</x:v>
      </x:c>
      <x:c r="C4" s="111" t="str">
        <x:v>Score 0</x:v>
      </x:c>
      <x:c r="D4" s="111" t="str">
        <x:v>Score 3</x:v>
      </x:c>
      <x:c r="E4" s="111" t="str">
        <x:v>Score 5</x:v>
      </x:c>
      <x:c r="F4" s="111" t="str">
        <x:v>Control / failure mode</x:v>
      </x:c>
      <x:c r="G4" s="111" t="str">
        <x:v>Treatment</x:v>
      </x:c>
    </x:row>
    <x:row r="5" ht="70" customHeight="1">
      <x:c r="A5" s="123" t="str">
        <x:v>Account materiality</x:v>
      </x:c>
      <x:c r="B5" s="124" t="n">
        <x:v>30</x:v>
      </x:c>
      <x:c r="C5" s="124" t="str">
        <x:v>Casual mention / no account implication</x:v>
      </x:c>
      <x:c r="D5" s="124" t="str">
        <x:v>Relevant business or operating context</x:v>
      </x:c>
      <x:c r="E5" s="124" t="str">
        <x:v>Named change in strategy, leadership, investment, operating model, technology, or risk</x:v>
      </x:c>
      <x:c r="F5" s="124" t="str">
        <x:v>Avoid treating generic industry coverage as an account signal.</x:v>
      </x:c>
      <x:c r="G5" s="125" t="str">
        <x:v>0–5 multiplied by 30%</x:v>
      </x:c>
    </x:row>
    <x:row r="6" ht="70" customHeight="1">
      <x:c r="A6" s="154" t="str">
        <x:v>Red Hat relevance</x:v>
      </x:c>
      <x:c r="B6" s="155" t="n">
        <x:v>25</x:v>
      </x:c>
      <x:c r="C6" s="155" t="str">
        <x:v>No defined RH outcome link</x:v>
      </x:c>
      <x:c r="D6" s="155" t="str">
        <x:v>Plausible but weak link</x:v>
      </x:c>
      <x:c r="E6" s="155" t="str">
        <x:v>Strong evidence-backed link to a defined motion</x:v>
      </x:c>
      <x:c r="F6" s="155" t="str">
        <x:v>Red Hat relevance is a conversation hypothesis, never proof of opportunity.</x:v>
      </x:c>
      <x:c r="G6" s="156" t="str">
        <x:v>0–5 multiplied by 25%</x:v>
      </x:c>
    </x:row>
    <x:row r="7" ht="70" customHeight="1">
      <x:c r="A7" s="123" t="str">
        <x:v>Seller actionability</x:v>
      </x:c>
      <x:c r="B7" s="124" t="n">
        <x:v>20</x:v>
      </x:c>
      <x:c r="C7" s="124" t="str">
        <x:v>No practical next step</x:v>
      </x:c>
      <x:c r="D7" s="124" t="str">
        <x:v>Internal research may help</x:v>
      </x:c>
      <x:c r="E7" s="124" t="str">
        <x:v>Clear account-team validation question or timely outreach action</x:v>
      </x:c>
      <x:c r="F7" s="124" t="str">
        <x:v>Reject ‘interesting but unusable’ signals.</x:v>
      </x:c>
      <x:c r="G7" s="125" t="str">
        <x:v>0–5 multiplied by 20%</x:v>
      </x:c>
    </x:row>
    <x:row r="8" ht="70" customHeight="1">
      <x:c r="A8" s="154" t="str">
        <x:v>Evidence quality</x:v>
      </x:c>
      <x:c r="B8" s="155" t="n">
        <x:v>15</x:v>
      </x:c>
      <x:c r="C8" s="155" t="str">
        <x:v>Unverified / low-quality / anonymous restatement</x:v>
      </x:c>
      <x:c r="D8" s="155" t="str">
        <x:v>Credible secondary coverage</x:v>
      </x:c>
      <x:c r="E8" s="155" t="str">
        <x:v>Primary source, official filing, trusted independent reporting</x:v>
      </x:c>
      <x:c r="F8" s="155" t="str">
        <x:v>Use original or strongest source when duplicates exist.</x:v>
      </x:c>
      <x:c r="G8" s="156" t="str">
        <x:v>0–5 multiplied by 15%</x:v>
      </x:c>
    </x:row>
    <x:row r="9" ht="70" customHeight="1">
      <x:c r="A9" s="123" t="str">
        <x:v>Recency / novelty</x:v>
      </x:c>
      <x:c r="B9" s="124" t="n">
        <x:v>10</x:v>
      </x:c>
      <x:c r="C9" s="124" t="str">
        <x:v>Old or already known</x:v>
      </x:c>
      <x:c r="D9" s="124" t="str">
        <x:v>Relevant but ageing</x:v>
      </x:c>
      <x:c r="E9" s="124" t="str">
        <x:v>New, nonduplicate change in coverage window</x:v>
      </x:c>
      <x:c r="F9" s="124" t="str">
        <x:v>Recency alone cannot overcome low relevance.</x:v>
      </x:c>
      <x:c r="G9" s="125" t="str">
        <x:v>0–5 multiplied by 10%</x:v>
      </x:c>
    </x:row>
    <x:row r="11">
      <x:c r="A11" s="49" t="str">
        <x:v>DISPOSITION RULES</x:v>
      </x:c>
      <x:c r="B11" s="49"/>
      <x:c r="C11" s="49"/>
      <x:c r="D11" s="49"/>
      <x:c r="E11" s="49"/>
      <x:c r="F11" s="49"/>
      <x:c r="G11" s="49"/>
    </x:row>
    <x:row r="12">
      <x:c r="A12" s="111" t="str">
        <x:v>Disposition</x:v>
      </x:c>
      <x:c r="B12" s="111" t="str">
        <x:v>Rule</x:v>
      </x:c>
      <x:c r="C12" s="111" t="str">
        <x:v>Treatment</x:v>
      </x:c>
      <x:c r="E12" s="111" t="str">
        <x:v>Score formula used in Signal Register</x:v>
      </x:c>
      <x:c r="F12" s="111"/>
      <x:c r="G12" s="111"/>
    </x:row>
    <x:row r="13" ht="42" customHeight="1">
      <x:c r="A13" s="136" t="str">
        <x:v>Keep</x:v>
      </x:c>
      <x:c r="B13" s="247" t="str">
        <x:v>75+ AND not duplicate</x:v>
      </x:c>
      <x:c r="C13" s="248" t="str">
        <x:v>Top seller signal; show in Account Pulse when action is clear.</x:v>
      </x:c>
      <x:c r="E13" s="393" t="str">
        <x:v>Weighted score = (Materiality/5 × 30) + (RH relevance/5 × 25) + (Actionability/5 × 20) + (Evidence/5 × 15) + (Recency/5 × 10).</x:v>
      </x:c>
      <x:c r="F13" s="394"/>
      <x:c r="G13" s="395"/>
    </x:row>
    <x:row r="14" ht="42" customHeight="1">
      <x:c r="A14" s="168" t="str">
        <x:v>Watch</x:v>
      </x:c>
      <x:c r="B14" s="253" t="str">
        <x:v>55–74 OR thought-leadership / technical direction with bounded account relevance</x:v>
      </x:c>
      <x:c r="C14" s="254" t="str">
        <x:v>Retain in account view; no interruptive alert unless account team confirms active relevance.</x:v>
      </x:c>
      <x:c r="E14" s="396"/>
      <x:c r="F14" s="397"/>
      <x:c r="G14" s="398"/>
    </x:row>
    <x:row r="15" ht="38" customHeight="1">
      <x:c r="A15" s="366" t="str">
        <x:v>Reject</x:v>
      </x:c>
      <x:c r="B15" s="367" t="str">
        <x:v>Below 55, duplicate, stale, not account-specific, no RH relevance, or no seller action</x:v>
      </x:c>
      <x:c r="C15" s="368" t="str">
        <x:v>Retain the audit trail; do not burden the seller.</x:v>
      </x:c>
    </x:row>
  </x:sheetData>
  <x:mergeCells>
    <x:mergeCell ref="A1:G1"/>
    <x:mergeCell ref="A2:G2"/>
    <x:mergeCell ref="A11:G11"/>
    <x:mergeCell ref="E12:G12"/>
    <x:mergeCell ref="E13:G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33" hidden="0" customWidth="1"/>
    <x:col min="4" max="4" width="31" hidden="0" customWidth="1"/>
    <x:col min="5" max="5" width="41" hidden="0" customWidth="1"/>
    <x:col min="6" max="6" width="38" hidden="0" customWidth="1"/>
  </x:cols>
  <x:sheetData>
    <x:row r="1" ht="28" customHeight="1">
      <x:c r="A1" s="5" t="str">
        <x:v>Source Scope | Controlled inputs for the manual POC and the later product</x:v>
      </x:c>
      <x:c r="B1" s="5"/>
      <x:c r="C1" s="5"/>
      <x:c r="D1" s="5"/>
      <x:c r="E1" s="5"/>
      <x:c r="F1" s="5"/>
    </x:row>
    <x:row r="2" ht="28" customHeight="1">
      <x:c r="A2" s="211" t="str">
        <x:v>The POC uses current, public sources. A production build would need approved retrieval methods, source terms, refresh frequency, data handling, and delivery controls before automation.</x:v>
      </x:c>
      <x:c r="B2" s="211"/>
      <x:c r="C2" s="211"/>
      <x:c r="D2" s="211"/>
      <x:c r="E2" s="211"/>
      <x:c r="F2" s="211"/>
    </x:row>
    <x:row r="4">
      <x:c r="A4" s="111" t="str">
        <x:v>Source type</x:v>
      </x:c>
      <x:c r="B4" s="111" t="str">
        <x:v>POC use</x:v>
      </x:c>
      <x:c r="C4" s="111" t="str">
        <x:v>Why it matters</x:v>
      </x:c>
      <x:c r="D4" s="111" t="str">
        <x:v>Later automation status</x:v>
      </x:c>
      <x:c r="E4" s="111" t="str">
        <x:v>Key control</x:v>
      </x:c>
      <x:c r="F4" s="111" t="str">
        <x:v>Examples used in POC</x:v>
      </x:c>
    </x:row>
    <x:row r="5" ht="65" customHeight="1">
      <x:c r="A5" s="123" t="str">
        <x:v>Official company newsroom / investor relations</x:v>
      </x:c>
      <x:c r="B5" s="124" t="str">
        <x:v>Primary fact source</x:v>
      </x:c>
      <x:c r="C5" s="124" t="str">
        <x:v>Best evidence for disclosed account changes</x:v>
      </x:c>
      <x:c r="D5" s="124" t="str">
        <x:v>Candidate for approved feed / retrieval</x:v>
      </x:c>
      <x:c r="E5" s="124" t="str">
        <x:v>Use original URLs; preserve publication date and text attribution</x:v>
      </x:c>
      <x:c r="F5" s="125" t="str">
        <x:v>JPMorganChase newsroom; Investor Relations</x:v>
      </x:c>
    </x:row>
    <x:row r="6" ht="65" customHeight="1">
      <x:c r="A6" s="154" t="str">
        <x:v>Official company technology / engineering content</x:v>
      </x:c>
      <x:c r="B6" s="155" t="str">
        <x:v>Strategy and technical-direction hypothesis</x:v>
      </x:c>
      <x:c r="C6" s="155" t="str">
        <x:v>Shows stated themes; usually not proof of a buying project</x:v>
      </x:c>
      <x:c r="D6" s="155" t="str">
        <x:v>Candidate for approved feed / retrieval</x:v>
      </x:c>
      <x:c r="E6" s="155" t="str">
        <x:v>Classify as ‘Watch’ unless a concrete account change is disclosed</x:v>
      </x:c>
      <x:c r="F6" s="156" t="str">
        <x:v>JPMorganChase Technology</x:v>
      </x:c>
    </x:row>
    <x:row r="7" ht="65" customHeight="1">
      <x:c r="A7" s="123" t="str">
        <x:v>Independent reporting</x:v>
      </x:c>
      <x:c r="B7" s="124" t="str">
        <x:v>Independent account-change reporting</x:v>
      </x:c>
      <x:c r="C7" s="124" t="str">
        <x:v>Can surface leadership, investment, operating-model, or industry activity</x:v>
      </x:c>
      <x:c r="D7" s="124" t="str">
        <x:v>Candidate for licensed / approved source integration</x:v>
      </x:c>
      <x:c r="E7" s="124" t="str">
        <x:v>Record source quality; do not promote a duplicate reprint over the source</x:v>
      </x:c>
      <x:c r="F7" s="125" t="str">
        <x:v>Reuters</x:v>
      </x:c>
    </x:row>
    <x:row r="8" ht="65" customHeight="1">
      <x:c r="A8" s="154" t="str">
        <x:v>Syndication / secondary commentary</x:v>
      </x:c>
      <x:c r="B8" s="155" t="str">
        <x:v>Only for coverage discovery</x:v>
      </x:c>
      <x:c r="C8" s="155" t="str">
        <x:v>Often duplicates or restates a stronger source</x:v>
      </x:c>
      <x:c r="D8" s="155" t="str">
        <x:v>Not required for MVP</x:v>
      </x:c>
      <x:c r="E8" s="155" t="str">
        <x:v>Deduplicate against original or strongest source</x:v>
      </x:c>
      <x:c r="F8" s="156" t="str">
        <x:v>Yahoo Finance example</x:v>
      </x:c>
    </x:row>
    <x:row r="9" ht="65" customHeight="1">
      <x:c r="A9" s="123" t="str">
        <x:v>Internal Red Hat knowledge</x:v>
      </x:c>
      <x:c r="B9" s="124" t="str">
        <x:v>Not used for facts in first POC</x:v>
      </x:c>
      <x:c r="C9" s="124" t="str">
        <x:v>Later: approved assets and account-plan context can improve seller relevance</x:v>
      </x:c>
      <x:c r="D9" s="124" t="str">
        <x:v>UNKNOWN—requires access, ownership, and governance</x:v>
      </x:c>
      <x:c r="E9" s="124" t="str">
        <x:v>Do not ingest or expose internal materials without authorization</x:v>
      </x:c>
      <x:c r="F9" s="125" t="str">
        <x:v>None in POC</x:v>
      </x:c>
    </x:row>
  </x:sheetData>
  <x:mergeCells>
    <x:mergeCell ref="A1:F1"/>
    <x:mergeCell ref="A2:F2"/>
  </x:mergeCells>
  <x:pageMargins left="0.7" right="0.7" top="0.75" bottom="0.75" header="0.3" footer="0.3"/>
</x:worksheet>
</file>